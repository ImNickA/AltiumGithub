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767E214F-9733-4C84-80B4-A113E943FE8A}" xr6:coauthVersionLast="47" xr6:coauthVersionMax="47" xr10:uidLastSave="{00000000-0000-0000-0000-000000000000}"/>
  <bookViews>
    <workbookView xWindow="34695" yWindow="2895" windowWidth="32160" windowHeight="16740" tabRatio="745" activeTab="5" xr2:uid="{C397F53C-48EF-47A2-AFE9-4806826F5736}"/>
  </bookViews>
  <sheets>
    <sheet name="Requirements" sheetId="1" r:id="rId1"/>
    <sheet name="SW Functions" sheetId="7" r:id="rId2"/>
    <sheet name="FMEA" sheetId="2" r:id="rId3"/>
    <sheet name="Power State Diagram" sheetId="3" r:id="rId4"/>
    <sheet name="TO DO" sheetId="5" r:id="rId5"/>
    <sheet name="Bits to purchase" sheetId="11" r:id="rId6"/>
    <sheet name="Problems" sheetId="4" r:id="rId7"/>
    <sheet name="Lessons Learned" sheetId="6" r:id="rId8"/>
    <sheet name="Calculations" sheetId="8" r:id="rId9"/>
    <sheet name="uC pinout" sheetId="9" r:id="rId10"/>
    <sheet name="New Parts"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c r="G4" i="2"/>
  <c r="G5" i="2"/>
  <c r="G6" i="2"/>
  <c r="G7" i="2"/>
  <c r="G8" i="2"/>
  <c r="G9" i="2"/>
  <c r="G10" i="2"/>
  <c r="G11" i="2"/>
  <c r="G12" i="2"/>
  <c r="G13" i="2"/>
  <c r="G14" i="2"/>
  <c r="G2" i="2"/>
  <c r="B8" i="8"/>
  <c r="B16" i="8"/>
  <c r="B7" i="8"/>
</calcChain>
</file>

<file path=xl/sharedStrings.xml><?xml version="1.0" encoding="utf-8"?>
<sst xmlns="http://schemas.openxmlformats.org/spreadsheetml/2006/main" count="765" uniqueCount="463">
  <si>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</si>
  <si>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</si>
  <si>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</si>
  <si>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</si>
  <si>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</si>
  <si>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</si>
  <si>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</si>
  <si>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</si>
  <si>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</si>
  <si>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</si>
  <si>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</si>
  <si>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</si>
  <si>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</si>
  <si>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</si>
  <si>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</si>
  <si>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</si>
  <si>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</si>
  <si>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</si>
  <si>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</si>
  <si>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</si>
  <si>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</si>
  <si>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</si>
  <si>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</si>
  <si>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</si>
  <si>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</si>
  <si>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</si>
  <si>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</si>
  <si>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</si>
  <si>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</si>
  <si>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</si>
  <si>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</si>
  <si>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</si>
  <si>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</si>
  <si>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</si>
  <si>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</si>
  <si>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</si>
  <si>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</si>
  <si>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</si>
  <si>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</si>
  <si>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</si>
  <si>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</si>
  <si>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</si>
  <si>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</si>
  <si>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</si>
  <si>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</si>
  <si>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</si>
  <si>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</si>
  <si>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</si>
  <si>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</si>
  <si>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</si>
  <si>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</si>
  <si>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</si>
  <si>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</si>
  <si>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</si>
  <si>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</si>
  <si>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</si>
  <si>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</si>
  <si>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</si>
  <si>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</si>
  <si>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</si>
  <si>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</si>
  <si>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</si>
  <si>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</si>
  <si>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</si>
  <si>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</si>
  <si>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</si>
  <si>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</si>
  <si>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</si>
  <si>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</si>
  <si>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</si>
  <si>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</si>
  <si>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</si>
  <si>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</si>
  <si>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</si>
  <si>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</si>
  <si>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</si>
  <si>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</si>
  <si>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</si>
  <si>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</si>
  <si>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</si>
  <si>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</si>
  <si>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</si>
  <si>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</si>
  <si>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</si>
  <si>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</si>
  <si>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</si>
  <si>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</si>
  <si>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</si>
  <si>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</si>
  <si>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</si>
  <si>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</si>
  <si>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</si>
  <si>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</si>
  <si>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</si>
  <si>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</si>
  <si>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</si>
  <si>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</si>
  <si>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</si>
  <si>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</si>
  <si>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</si>
  <si>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</si>
  <si>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</si>
  <si>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</si>
  <si>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</si>
  <si>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</si>
  <si>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</si>
  <si>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</si>
  <si>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</si>
  <si>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</si>
  <si>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</si>
  <si>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</si>
  <si>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</si>
  <si>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</si>
  <si>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</si>
  <si>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</si>
  <si>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</si>
  <si>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</si>
  <si>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</si>
  <si>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</si>
  <si>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</si>
  <si>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</si>
  <si>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</si>
  <si>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</si>
  <si>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</si>
  <si>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</si>
  <si>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</si>
  <si>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</si>
  <si>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</si>
  <si>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</si>
  <si>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</si>
  <si>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</si>
  <si>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</si>
  <si>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</si>
  <si>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</si>
  <si>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</si>
  <si>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</si>
  <si>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</si>
  <si>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</si>
  <si>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</si>
  <si>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</si>
  <si>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</si>
  <si>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</si>
  <si>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</si>
  <si>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</si>
  <si>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</si>
  <si>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</si>
  <si>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</si>
  <si>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</si>
  <si>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</si>
  <si>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</si>
  <si>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</si>
  <si>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</si>
  <si>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</si>
  <si>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</si>
  <si>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</si>
  <si>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</si>
  <si>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</si>
  <si>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</si>
  <si>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</si>
  <si>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</si>
  <si>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</si>
  <si>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</si>
  <si>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</si>
  <si>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</si>
  <si>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</si>
  <si>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</si>
  <si>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</si>
  <si>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</si>
  <si>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</si>
  <si>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</si>
  <si>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</si>
  <si>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</si>
  <si>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</si>
  <si>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</si>
  <si>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</si>
  <si>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</si>
  <si>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</si>
  <si>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</si>
  <si>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</si>
  <si>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</si>
  <si>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</si>
  <si>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</si>
  <si>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</si>
  <si>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</si>
  <si>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</si>
  <si>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</si>
  <si>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</si>
  <si>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</si>
  <si>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</si>
  <si>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</si>
  <si>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</si>
  <si>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</si>
  <si>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</si>
  <si>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</si>
  <si>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</si>
  <si>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</si>
  <si>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</si>
  <si>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</si>
  <si>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</si>
  <si>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</si>
  <si>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</si>
  <si>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</si>
  <si>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</si>
  <si>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</si>
  <si>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</si>
  <si>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</si>
  <si>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</si>
  <si>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</si>
  <si>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</si>
  <si>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</si>
  <si>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</si>
  <si>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</si>
  <si>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</si>
  <si>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</si>
  <si>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</si>
  <si>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</si>
  <si>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</si>
  <si>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</si>
  <si>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</si>
  <si>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</si>
  <si>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</si>
  <si>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</si>
  <si>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</si>
  <si>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</si>
  <si>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</si>
  <si>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</si>
  <si>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</si>
  <si>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</si>
  <si>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</si>
  <si>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</si>
  <si>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</si>
  <si>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</si>
  <si>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</si>
  <si>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</si>
  <si>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</si>
  <si>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</si>
  <si>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</si>
  <si>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</si>
  <si>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</si>
  <si>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</si>
  <si>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</si>
  <si>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</si>
  <si>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</si>
  <si>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</si>
  <si>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</si>
  <si>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</si>
  <si>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Setup layerstack</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</si>
  <si>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</si>
  <si>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</si>
  <si>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</si>
  <si>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</si>
  <si>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</si>
  <si>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</si>
  <si>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</si>
  <si>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</si>
  <si>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</si>
  <si>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</si>
  <si>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</si>
  <si>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</si>
  <si>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</si>
  <si>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</si>
  <si>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</si>
  <si>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</si>
  <si>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</si>
  <si>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</si>
  <si>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</si>
  <si>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</si>
  <si>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</si>
  <si>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</si>
  <si>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</si>
  <si>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</si>
  <si>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</si>
  <si>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</si>
  <si>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</si>
  <si>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</si>
  <si>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</si>
  <si>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</si>
  <si>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</si>
  <si>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</si>
  <si>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</si>
  <si>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</si>
  <si>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</si>
  <si>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</si>
  <si>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</si>
  <si>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</si>
  <si>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</si>
  <si>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</si>
  <si>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</si>
  <si>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</si>
  <si>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</si>
  <si>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</si>
  <si>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</si>
  <si>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</si>
  <si>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</si>
  <si>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</si>
  <si>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</si>
  <si>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</si>
  <si>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</si>
  <si>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</si>
  <si>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</si>
  <si>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</si>
  <si>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</si>
  <si>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</si>
  <si>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</si>
  <si>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</si>
  <si>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</si>
  <si>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</si>
  <si>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</si>
  <si>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</si>
  <si>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</si>
  <si>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</si>
  <si>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</si>
  <si>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</si>
  <si>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</si>
  <si>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</si>
  <si>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</si>
  <si>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</si>
  <si>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</si>
  <si>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</si>
  <si>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</si>
  <si>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</si>
  <si>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</si>
  <si>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</si>
  <si>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</si>
  <si>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</si>
  <si>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</si>
  <si>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</si>
  <si>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</si>
  <si>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</si>
  <si>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</si>
  <si>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</si>
  <si>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</si>
  <si>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</si>
  <si>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</si>
  <si>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</si>
  <si>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</si>
  <si>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</si>
  <si>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</si>
  <si>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</si>
  <si>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</si>
  <si>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</si>
  <si>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</si>
  <si>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</si>
  <si>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</si>
  <si>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</si>
  <si>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</si>
  <si>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</si>
  <si>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</si>
  <si>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</si>
  <si>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</si>
  <si>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</si>
  <si>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</si>
  <si>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</si>
  <si>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</si>
  <si>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</si>
  <si>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</si>
  <si>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</si>
  <si>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</si>
  <si>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</si>
  <si>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</si>
  <si>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</si>
  <si>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</si>
  <si>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</si>
  <si>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</si>
  <si>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</si>
  <si>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</si>
  <si>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</si>
  <si>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</si>
  <si>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</si>
  <si>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</si>
  <si>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</si>
  <si>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</si>
  <si>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</si>
  <si>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</si>
  <si>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</si>
  <si>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</si>
  <si>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</si>
  <si>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</si>
  <si>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</si>
  <si>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</si>
  <si>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</si>
  <si>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</si>
  <si>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</si>
  <si>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</si>
  <si>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</si>
  <si>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</si>
  <si>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</si>
  <si>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</si>
  <si>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</si>
  <si>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</si>
  <si>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</si>
  <si>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</si>
  <si>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</si>
  <si>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</si>
  <si>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Sort transceiver 3D body shape - currently on layer 1</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</si>
  <si>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</si>
  <si>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</si>
  <si>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</si>
  <si>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</si>
  <si>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</si>
  <si>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</si>
  <si>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</si>
  <si>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</si>
  <si>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</si>
  <si>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</si>
  <si>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</si>
  <si>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</si>
  <si>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</si>
  <si>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</si>
  <si>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</si>
  <si>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</si>
  <si>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</si>
  <si>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</si>
  <si>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</si>
  <si>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</si>
  <si>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</si>
  <si>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</si>
  <si>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</si>
  <si>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</si>
  <si>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ST</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</si>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</sst>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85">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0" xfId="0" applyFont="1" applyBorder="1" applyAlignment="1">
      <alignment vertical="center" wrapText="1"/>
    </xf>
    <xf numFmtId="0" fontId="4" fillId="0" borderId="7" xfId="0" applyFont="1" applyBorder="1" applyAlignment="1">
      <alignment vertical="center" wrapText="1"/>
    </xf>
    <xf numFmtId="0" fontId="4" fillId="0" borderId="6" xfId="0" applyFont="1" applyBorder="1" applyAlignment="1">
      <alignment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0" borderId="10" xfId="0" applyFont="1" applyBorder="1" applyAlignment="1">
      <alignment horizontal="justify" vertical="center" wrapText="1"/>
    </xf>
    <xf numFmtId="0" fontId="4" fillId="0" borderId="7" xfId="0" applyFont="1" applyBorder="1" applyAlignment="1">
      <alignment horizontal="justify" vertical="center" wrapText="1"/>
    </xf>
    <xf numFmtId="0" fontId="4" fillId="0" borderId="6" xfId="0" applyFont="1" applyBorder="1" applyAlignment="1">
      <alignment horizontal="justify" vertical="center" wrapText="1"/>
    </xf>
    <xf numFmtId="0" fontId="4" fillId="5" borderId="10" xfId="0" applyFont="1" applyFill="1" applyBorder="1" applyAlignment="1">
      <alignment vertical="center" wrapText="1"/>
    </xf>
    <xf numFmtId="0" fontId="4" fillId="5" borderId="7" xfId="0" applyFont="1" applyFill="1" applyBorder="1" applyAlignment="1">
      <alignment vertical="center" wrapText="1"/>
    </xf>
    <xf numFmtId="0" fontId="4" fillId="5" borderId="6" xfId="0" applyFont="1" applyFill="1" applyBorder="1" applyAlignment="1">
      <alignment vertical="center" wrapText="1"/>
    </xf>
    <xf numFmtId="0" fontId="4" fillId="0" borderId="11" xfId="0" applyFont="1" applyBorder="1" applyAlignment="1">
      <alignment horizontal="center" vertical="center" wrapText="1"/>
    </xf>
    <xf numFmtId="0" fontId="4" fillId="0" borderId="11" xfId="0" applyFont="1" applyBorder="1" applyAlignment="1">
      <alignment vertical="center" wrapText="1"/>
    </xf>
    <xf numFmtId="0" fontId="4" fillId="5" borderId="11" xfId="0" applyFont="1" applyFill="1" applyBorder="1" applyAlignment="1">
      <alignment vertical="center" wrapText="1"/>
    </xf>
    <xf numFmtId="0" fontId="4" fillId="7" borderId="11"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0"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4" fillId="7" borderId="10" xfId="0" applyFont="1" applyFill="1" applyBorder="1" applyAlignment="1">
      <alignment horizontal="center" vertical="center" wrapText="1"/>
    </xf>
    <xf numFmtId="0" fontId="4" fillId="0" borderId="11" xfId="0" applyFont="1" applyBorder="1" applyAlignment="1">
      <alignment horizontal="justify" vertical="center" wrapText="1"/>
    </xf>
    <xf numFmtId="0" fontId="5" fillId="0" borderId="11"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3" Type="http://schemas.openxmlformats.org/officeDocument/2006/relationships/hyperlink" Target="https://uk.farnell.com/techspray/2211-8sq/solder-mask-peelable-wondermask/dp/2501338" TargetMode="External"/><Relationship Id="rId7" Type="http://schemas.openxmlformats.org/officeDocument/2006/relationships/hyperlink" Target="https://uk.farnell.com/multicomp-pro/mp015562/clean-room-wiper-100x100mm-150sheet/dp/4668791" TargetMode="External"/><Relationship Id="rId2" Type="http://schemas.openxmlformats.org/officeDocument/2006/relationships/hyperlink" Target="https://uk.farnell.com/chemtronics/es835be/cleaner-flux-off-200ml/dp/860414"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5" Type="http://schemas.openxmlformats.org/officeDocument/2006/relationships/hyperlink" Target="https://uk.farnell.com/loctite/222-10ml/threadlocker-bottle-10ml-purple/dp/537056"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277</v>
      </c>
      <c r="D1" s="43" t="s">
        <v>278</v>
      </c>
      <c r="E1" s="43" t="s">
        <v>279</v>
      </c>
      <c r="F1" s="43" t="s">
        <v>280</v>
      </c>
      <c r="G1" s="43" t="s">
        <v>281</v>
      </c>
      <c r="H1" s="2" t="s">
        <v>7</v>
      </c>
    </row>
    <row r="2" spans="1:8" s="5" customFormat="1" ht="15">
      <c r="B2" s="2" t="s">
        <v>19</v>
      </c>
      <c r="C2" s="2"/>
      <c r="D2" s="43"/>
      <c r="E2" s="43"/>
      <c r="F2" s="43"/>
      <c r="G2" s="43"/>
      <c r="H2" s="2"/>
    </row>
    <row r="3" spans="1:8">
      <c r="B3" s="1" t="s">
        <v>13</v>
      </c>
      <c r="C3" s="1" t="s">
        <v>354</v>
      </c>
      <c r="D3" s="7">
        <v>3.7</v>
      </c>
      <c r="F3" s="7">
        <v>10</v>
      </c>
      <c r="G3" s="7" t="s">
        <v>282</v>
      </c>
    </row>
    <row r="4" spans="1:8" ht="57">
      <c r="B4" s="1" t="s">
        <v>289</v>
      </c>
      <c r="C4" s="1" t="s">
        <v>291</v>
      </c>
      <c r="F4" s="7">
        <v>30</v>
      </c>
      <c r="G4" s="7" t="s">
        <v>290</v>
      </c>
    </row>
    <row r="5" spans="1:8">
      <c r="B5" s="1" t="s">
        <v>14</v>
      </c>
      <c r="F5" s="7" t="s">
        <v>286</v>
      </c>
    </row>
    <row r="6" spans="1:8">
      <c r="B6" s="1" t="s">
        <v>15</v>
      </c>
      <c r="F6" s="7" t="s">
        <v>286</v>
      </c>
    </row>
    <row r="7" spans="1:8">
      <c r="B7" s="1" t="s">
        <v>16</v>
      </c>
      <c r="D7" s="7">
        <v>-20</v>
      </c>
      <c r="F7" s="7">
        <v>85</v>
      </c>
      <c r="G7" s="7" t="s">
        <v>287</v>
      </c>
    </row>
    <row r="8" spans="1:8">
      <c r="B8" s="1" t="s">
        <v>17</v>
      </c>
      <c r="F8" s="7" t="s">
        <v>286</v>
      </c>
      <c r="H8" s="1" t="s">
        <v>276</v>
      </c>
    </row>
    <row r="9" spans="1:8">
      <c r="B9" s="1" t="s">
        <v>25</v>
      </c>
      <c r="C9" s="1" t="s">
        <v>284</v>
      </c>
      <c r="F9" s="7">
        <v>3</v>
      </c>
      <c r="G9" s="7" t="s">
        <v>283</v>
      </c>
    </row>
    <row r="10" spans="1:8">
      <c r="B10" s="1" t="s">
        <v>331</v>
      </c>
      <c r="D10" s="7">
        <v>2</v>
      </c>
    </row>
    <row r="11" spans="1:8">
      <c r="B11" s="1" t="s">
        <v>330</v>
      </c>
      <c r="D11" s="7">
        <v>2</v>
      </c>
    </row>
    <row r="12" spans="1:8">
      <c r="B12" s="1" t="s">
        <v>332</v>
      </c>
      <c r="D12" s="7">
        <v>2</v>
      </c>
    </row>
    <row r="13" spans="1:8">
      <c r="B13" s="1" t="s">
        <v>333</v>
      </c>
      <c r="D13" s="7">
        <v>2</v>
      </c>
    </row>
    <row r="14" spans="1:8">
      <c r="B14" s="1" t="s">
        <v>50</v>
      </c>
      <c r="C14" s="1" t="s">
        <v>296</v>
      </c>
      <c r="D14" s="7">
        <v>10</v>
      </c>
      <c r="F14" s="7" t="s">
        <v>286</v>
      </c>
      <c r="G14" s="7" t="s">
        <v>297</v>
      </c>
      <c r="H14" s="45" t="s">
        <v>334</v>
      </c>
    </row>
    <row r="15" spans="1:8">
      <c r="B15" s="1" t="s">
        <v>335</v>
      </c>
      <c r="D15" s="7">
        <v>4000</v>
      </c>
      <c r="G15" s="7" t="s">
        <v>282</v>
      </c>
      <c r="H15" s="45"/>
    </row>
    <row r="17" spans="2:9" ht="15">
      <c r="B17" s="2" t="s">
        <v>18</v>
      </c>
    </row>
    <row r="18" spans="2:9" ht="42.75">
      <c r="B18" s="1" t="s">
        <v>303</v>
      </c>
      <c r="C18" s="1" t="s">
        <v>318</v>
      </c>
      <c r="H18" s="1" t="s">
        <v>319</v>
      </c>
      <c r="I18" t="s">
        <v>321</v>
      </c>
    </row>
    <row r="19" spans="2:9" ht="28.5">
      <c r="B19" s="1" t="s">
        <v>21</v>
      </c>
      <c r="C19" s="1" t="s">
        <v>285</v>
      </c>
      <c r="H19" s="1" t="s">
        <v>320</v>
      </c>
    </row>
    <row r="20" spans="2:9" ht="28.5">
      <c r="B20" s="1" t="s">
        <v>20</v>
      </c>
      <c r="C20" s="1" t="s">
        <v>285</v>
      </c>
      <c r="H20" s="1" t="s">
        <v>322</v>
      </c>
    </row>
    <row r="21" spans="2:9" ht="28.5">
      <c r="B21" s="1" t="s">
        <v>22</v>
      </c>
      <c r="C21" s="1" t="s">
        <v>285</v>
      </c>
      <c r="H21" s="1" t="s">
        <v>323</v>
      </c>
    </row>
    <row r="22" spans="2:9">
      <c r="B22" s="1" t="s">
        <v>23</v>
      </c>
    </row>
    <row r="23" spans="2:9">
      <c r="B23" s="1" t="s">
        <v>24</v>
      </c>
    </row>
    <row r="24" spans="2:9" ht="28.5">
      <c r="B24" s="1" t="s">
        <v>339</v>
      </c>
      <c r="C24" s="1" t="s">
        <v>324</v>
      </c>
    </row>
    <row r="25" spans="2:9" ht="28.5">
      <c r="B25" s="1" t="s">
        <v>292</v>
      </c>
      <c r="C25" s="1" t="s">
        <v>288</v>
      </c>
      <c r="H25" s="1" t="s">
        <v>340</v>
      </c>
    </row>
    <row r="26" spans="2:9" ht="57">
      <c r="B26" s="1" t="s">
        <v>293</v>
      </c>
      <c r="C26" s="1" t="s">
        <v>294</v>
      </c>
      <c r="H26" s="1" t="s">
        <v>341</v>
      </c>
    </row>
    <row r="27" spans="2:9" ht="28.5">
      <c r="B27" s="1" t="s">
        <v>350</v>
      </c>
      <c r="C27" s="1" t="s">
        <v>295</v>
      </c>
      <c r="H27" s="1" t="s">
        <v>342</v>
      </c>
    </row>
    <row r="28" spans="2:9" ht="28.5">
      <c r="B28" s="1" t="s">
        <v>343</v>
      </c>
      <c r="C28" s="1" t="s">
        <v>344</v>
      </c>
    </row>
    <row r="29" spans="2:9" ht="28.5">
      <c r="B29" s="1" t="s">
        <v>345</v>
      </c>
      <c r="C29" s="1" t="s">
        <v>351</v>
      </c>
    </row>
    <row r="30" spans="2:9" ht="28.5">
      <c r="B30" s="1" t="s">
        <v>301</v>
      </c>
      <c r="C30" s="1" t="s">
        <v>307</v>
      </c>
    </row>
    <row r="31" spans="2:9" ht="71.25">
      <c r="B31" s="1" t="s">
        <v>346</v>
      </c>
      <c r="C31" s="1" t="s">
        <v>304</v>
      </c>
    </row>
    <row r="32" spans="2:9" ht="28.5">
      <c r="B32" s="1" t="s">
        <v>352</v>
      </c>
      <c r="C32" s="1" t="s">
        <v>347</v>
      </c>
    </row>
    <row r="33" spans="2:8" ht="28.5">
      <c r="B33" s="1" t="s">
        <v>302</v>
      </c>
      <c r="C33" s="1" t="s">
        <v>348</v>
      </c>
    </row>
    <row r="34" spans="2:8">
      <c r="B34" s="1" t="s">
        <v>305</v>
      </c>
      <c r="C34" s="1" t="s">
        <v>306</v>
      </c>
    </row>
    <row r="35" spans="2:8" ht="28.5">
      <c r="B35" s="1" t="s">
        <v>353</v>
      </c>
      <c r="C35" s="44" t="s">
        <v>275</v>
      </c>
    </row>
    <row r="36" spans="2:8" ht="28.5">
      <c r="B36" s="1" t="s">
        <v>325</v>
      </c>
      <c r="C36" s="1" t="s">
        <v>313</v>
      </c>
    </row>
    <row r="37" spans="2:8" ht="28.5">
      <c r="B37" s="1" t="s">
        <v>326</v>
      </c>
      <c r="C37" s="1" t="s">
        <v>298</v>
      </c>
      <c r="H37" s="1" t="s">
        <v>328</v>
      </c>
    </row>
    <row r="38" spans="2:8">
      <c r="B38" s="1" t="s">
        <v>327</v>
      </c>
      <c r="H38" s="1" t="s">
        <v>329</v>
      </c>
    </row>
    <row r="39" spans="2:8" ht="28.5">
      <c r="B39" s="1" t="s">
        <v>337</v>
      </c>
      <c r="C39" s="1" t="s">
        <v>338</v>
      </c>
      <c r="H39" s="1" t="s">
        <v>336</v>
      </c>
    </row>
    <row r="41" spans="2:8" ht="15">
      <c r="B41" s="2" t="s">
        <v>308</v>
      </c>
    </row>
    <row r="42" spans="2:8">
      <c r="B42" s="44" t="s">
        <v>309</v>
      </c>
    </row>
    <row r="43" spans="2:8">
      <c r="B43" s="44" t="s">
        <v>310</v>
      </c>
      <c r="C43" s="1" t="s">
        <v>311</v>
      </c>
    </row>
    <row r="44" spans="2:8">
      <c r="B44" s="44" t="s">
        <v>312</v>
      </c>
      <c r="C44" s="1" t="s">
        <v>315</v>
      </c>
    </row>
    <row r="45" spans="2:8">
      <c r="B45" s="44" t="s">
        <v>314</v>
      </c>
    </row>
    <row r="46" spans="2:8">
      <c r="B46" s="44" t="s">
        <v>349</v>
      </c>
      <c r="C46" s="1" t="s">
        <v>316</v>
      </c>
    </row>
    <row r="47" spans="2:8">
      <c r="B47" s="44" t="s">
        <v>317</v>
      </c>
    </row>
    <row r="48" spans="2:8">
      <c r="B48" s="44"/>
    </row>
    <row r="49" spans="2:3">
      <c r="B49" s="44"/>
    </row>
    <row r="50" spans="2:3">
      <c r="B50" s="44"/>
    </row>
    <row r="51" spans="2:3">
      <c r="B51" s="44"/>
    </row>
    <row r="52" spans="2:3" ht="15">
      <c r="B52" s="2" t="s">
        <v>300</v>
      </c>
    </row>
    <row r="53" spans="2:3" ht="28.5">
      <c r="B53" s="1" t="s">
        <v>26</v>
      </c>
      <c r="C53" s="1" t="s">
        <v>299</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355</v>
      </c>
      <c r="F1" s="2" t="s">
        <v>3</v>
      </c>
      <c r="G1" s="2" t="s">
        <v>4</v>
      </c>
      <c r="H1" s="3"/>
      <c r="I1" s="2" t="s">
        <v>5</v>
      </c>
      <c r="J1" s="2" t="s">
        <v>9</v>
      </c>
      <c r="K1" s="2" t="s">
        <v>355</v>
      </c>
      <c r="L1" s="2" t="s">
        <v>3</v>
      </c>
      <c r="M1" s="2" t="s">
        <v>6</v>
      </c>
      <c r="N1" s="2" t="s">
        <v>7</v>
      </c>
    </row>
    <row r="2" spans="1:14" ht="42.75">
      <c r="A2" s="1">
        <v>1</v>
      </c>
      <c r="B2" s="1" t="s">
        <v>362</v>
      </c>
      <c r="C2" s="1" t="s">
        <v>363</v>
      </c>
      <c r="D2" s="1" t="s">
        <v>361</v>
      </c>
      <c r="E2" s="1">
        <v>1</v>
      </c>
      <c r="F2" s="1">
        <v>2</v>
      </c>
      <c r="G2" s="1">
        <f>E2*F2</f>
        <v>2</v>
      </c>
      <c r="I2" s="1" t="s">
        <v>364</v>
      </c>
      <c r="J2" s="1" t="s">
        <v>365</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356</v>
      </c>
      <c r="E18" s="1">
        <v>1</v>
      </c>
    </row>
    <row r="19" spans="4:5">
      <c r="E19" s="1">
        <v>2</v>
      </c>
    </row>
    <row r="20" spans="4:5">
      <c r="E20" s="1">
        <v>3</v>
      </c>
    </row>
    <row r="21" spans="4:5">
      <c r="E21" s="1">
        <v>4</v>
      </c>
    </row>
    <row r="22" spans="4:5" ht="28.5">
      <c r="D22" s="1" t="s">
        <v>357</v>
      </c>
      <c r="E22" s="1">
        <v>5</v>
      </c>
    </row>
    <row r="25" spans="4:5">
      <c r="D25" s="1" t="s">
        <v>358</v>
      </c>
    </row>
    <row r="26" spans="4:5">
      <c r="D26" s="1" t="s">
        <v>359</v>
      </c>
    </row>
    <row r="27" spans="4:5">
      <c r="D27" s="1" t="s">
        <v>360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1"/>
  <sheetViews>
    <sheetView topLeftCell="A36" zoomScaleNormal="100" workbookViewId="0">
      <selection activeCell="C48" sqref="C48"/>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371</v>
      </c>
    </row>
    <row r="9" spans="1:3">
      <c r="A9" s="1" t="s">
        <v>46</v>
      </c>
    </row>
    <row r="10" spans="1:3">
      <c r="A10" s="1" t="s">
        <v>48</v>
      </c>
      <c r="B10" s="6" t="s">
        <v>32</v>
      </c>
    </row>
    <row r="11" spans="1:3">
      <c r="A11" s="1" t="s">
        <v>47</v>
      </c>
      <c r="B11" s="6" t="s">
        <v>32</v>
      </c>
    </row>
    <row r="12" spans="1:3">
      <c r="A12" s="1" t="s">
        <v>49</v>
      </c>
      <c r="B12" s="6" t="s">
        <v>371</v>
      </c>
    </row>
    <row r="13" spans="1:3" ht="30">
      <c r="A13" s="1" t="s">
        <v>243</v>
      </c>
      <c r="B13" s="6" t="s">
        <v>371</v>
      </c>
    </row>
    <row r="14" spans="1:3">
      <c r="A14" s="1" t="s">
        <v>244</v>
      </c>
      <c r="B14" s="6" t="s">
        <v>32</v>
      </c>
    </row>
    <row r="15" spans="1:3">
      <c r="A15" s="1" t="s">
        <v>245</v>
      </c>
      <c r="B15" s="6" t="s">
        <v>32</v>
      </c>
    </row>
    <row r="16" spans="1:3">
      <c r="A16" s="1" t="s">
        <v>246</v>
      </c>
    </row>
    <row r="17" spans="1:2">
      <c r="A17" s="1" t="s">
        <v>247</v>
      </c>
    </row>
    <row r="18" spans="1:2">
      <c r="A18" s="1" t="s">
        <v>257</v>
      </c>
      <c r="B18" s="6" t="s">
        <v>32</v>
      </c>
    </row>
    <row r="19" spans="1:2">
      <c r="A19" s="1" t="s">
        <v>258</v>
      </c>
      <c r="B19" s="6" t="s">
        <v>32</v>
      </c>
    </row>
    <row r="20" spans="1:2">
      <c r="A20" s="1" t="s">
        <v>259</v>
      </c>
      <c r="B20" s="6" t="s">
        <v>32</v>
      </c>
    </row>
    <row r="21" spans="1:2" ht="30">
      <c r="A21" s="1" t="s">
        <v>260</v>
      </c>
      <c r="B21" s="6" t="s">
        <v>32</v>
      </c>
    </row>
    <row r="22" spans="1:2">
      <c r="A22" s="1" t="s">
        <v>397</v>
      </c>
    </row>
    <row r="23" spans="1:2">
      <c r="A23" s="1" t="s">
        <v>372</v>
      </c>
    </row>
    <row r="24" spans="1:2">
      <c r="A24" s="1" t="s">
        <v>373</v>
      </c>
    </row>
    <row r="25" spans="1:2" ht="30">
      <c r="A25" s="1" t="s">
        <v>374</v>
      </c>
      <c r="B25" s="6" t="s">
        <v>32</v>
      </c>
    </row>
    <row r="26" spans="1:2">
      <c r="A26" s="1" t="s">
        <v>366</v>
      </c>
      <c r="B26" s="6" t="s">
        <v>32</v>
      </c>
    </row>
    <row r="27" spans="1:2">
      <c r="A27" s="1" t="s">
        <v>367</v>
      </c>
      <c r="B27" s="6" t="s">
        <v>371</v>
      </c>
    </row>
    <row r="28" spans="1:2">
      <c r="A28" s="1" t="s">
        <v>368</v>
      </c>
      <c r="B28" s="6" t="s">
        <v>32</v>
      </c>
    </row>
    <row r="29" spans="1:2" ht="30">
      <c r="A29" s="1" t="s">
        <v>375</v>
      </c>
      <c r="B29" s="6" t="s">
        <v>32</v>
      </c>
    </row>
    <row r="30" spans="1:2">
      <c r="A30" s="1" t="s">
        <v>376</v>
      </c>
      <c r="B30" s="6" t="s">
        <v>32</v>
      </c>
    </row>
    <row r="31" spans="1:2">
      <c r="A31" s="1" t="s">
        <v>377</v>
      </c>
      <c r="B31" s="6" t="s">
        <v>32</v>
      </c>
    </row>
    <row r="32" spans="1:2">
      <c r="A32" s="1" t="s">
        <v>378</v>
      </c>
      <c r="B32" s="6" t="s">
        <v>32</v>
      </c>
    </row>
    <row r="33" spans="1:2">
      <c r="A33" s="1" t="s">
        <v>379</v>
      </c>
    </row>
    <row r="34" spans="1:2">
      <c r="A34" s="1" t="s">
        <v>380</v>
      </c>
      <c r="B34" s="6" t="s">
        <v>32</v>
      </c>
    </row>
    <row r="35" spans="1:2">
      <c r="A35" s="1" t="s">
        <v>381</v>
      </c>
      <c r="B35" s="6" t="s">
        <v>32</v>
      </c>
    </row>
    <row r="36" spans="1:2">
      <c r="A36" s="1" t="s">
        <v>382</v>
      </c>
      <c r="B36" s="6" t="s">
        <v>32</v>
      </c>
    </row>
    <row r="37" spans="1:2">
      <c r="A37" s="1" t="s">
        <v>383</v>
      </c>
    </row>
    <row r="38" spans="1:2">
      <c r="A38" s="1" t="s">
        <v>384</v>
      </c>
      <c r="B38" s="6" t="s">
        <v>32</v>
      </c>
    </row>
    <row r="39" spans="1:2">
      <c r="A39" s="1" t="s">
        <v>385</v>
      </c>
      <c r="B39" s="6" t="s">
        <v>32</v>
      </c>
    </row>
    <row r="40" spans="1:2">
      <c r="A40" s="1" t="s">
        <v>386</v>
      </c>
      <c r="B40" s="6" t="s">
        <v>32</v>
      </c>
    </row>
    <row r="41" spans="1:2">
      <c r="A41" s="1" t="s">
        <v>387</v>
      </c>
    </row>
    <row r="42" spans="1:2" ht="30">
      <c r="A42" s="1" t="s">
        <v>388</v>
      </c>
      <c r="B42" s="6" t="s">
        <v>32</v>
      </c>
    </row>
    <row r="43" spans="1:2">
      <c r="A43" s="1" t="s">
        <v>389</v>
      </c>
      <c r="B43" s="6" t="s">
        <v>32</v>
      </c>
    </row>
    <row r="44" spans="1:2">
      <c r="A44" s="1" t="s">
        <v>390</v>
      </c>
    </row>
    <row r="45" spans="1:2" ht="30">
      <c r="A45" s="1" t="s">
        <v>391</v>
      </c>
      <c r="B45" s="6" t="s">
        <v>32</v>
      </c>
    </row>
    <row r="46" spans="1:2">
      <c r="A46" s="1" t="s">
        <v>392</v>
      </c>
    </row>
    <row r="47" spans="1:2">
      <c r="A47" s="1" t="s">
        <v>393</v>
      </c>
      <c r="B47" s="6" t="s">
        <v>32</v>
      </c>
    </row>
    <row r="48" spans="1:2" ht="30">
      <c r="A48" s="1" t="s">
        <v>394</v>
      </c>
    </row>
    <row r="49" spans="1:2">
      <c r="A49" s="1" t="s">
        <v>395</v>
      </c>
      <c r="B49" s="6" t="s">
        <v>32</v>
      </c>
    </row>
    <row r="50" spans="1:2">
      <c r="A50" s="1" t="s">
        <v>396</v>
      </c>
    </row>
    <row r="51" spans="1:2">
      <c r="A51" s="1" t="s">
        <v>398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H33"/>
  <sheetViews>
    <sheetView tabSelected="1" topLeftCell="A3" workbookViewId="0">
      <selection activeCell="A34" sqref="A34"/>
    </sheetView>
  </sheetViews>
  <sheetFormatPr defaultRowHeight="14.25"/>
  <cols>
    <col min="1" max="1" width="29.125" bestFit="1" customWidth="1"/>
    <col min="3" max="3" width="14.625" bestFit="1" customWidth="1"/>
    <col min="4" max="4" width="18.75" customWidth="1"/>
    <col min="5" max="5" width="14.375" customWidth="1"/>
    <col min="6" max="6" width="16.75" bestFit="1" customWidth="1"/>
    <col min="7" max="7" width="57.5" customWidth="1"/>
    <col min="8" max="8" width="55.75" customWidth="1"/>
  </cols>
  <sheetData>
    <row r="1" spans="1:8" s="5" customFormat="1" ht="15">
      <c r="A1" s="5" t="s">
        <v>401</v>
      </c>
      <c r="B1" s="5" t="s">
        <v>404</v>
      </c>
      <c r="C1" s="5" t="s">
        <v>418</v>
      </c>
      <c r="D1" s="5" t="s">
        <v>248</v>
      </c>
      <c r="E1" s="5" t="s">
        <v>254</v>
      </c>
      <c r="F1" s="5" t="s">
        <v>253</v>
      </c>
      <c r="G1" s="5" t="s">
        <v>402</v>
      </c>
      <c r="H1" s="5" t="s">
        <v>7</v>
      </c>
    </row>
    <row r="2" spans="1:8">
      <c r="A2" t="s">
        <v>400</v>
      </c>
      <c r="B2">
        <v>2</v>
      </c>
      <c r="C2" t="s">
        <v>408</v>
      </c>
      <c r="D2" t="s">
        <v>407</v>
      </c>
      <c r="E2" t="s">
        <v>408</v>
      </c>
      <c r="F2" t="s">
        <v>407</v>
      </c>
      <c r="G2" s="42" t="s">
        <v>399</v>
      </c>
      <c r="H2" t="s">
        <v>403</v>
      </c>
    </row>
    <row r="3" spans="1:8">
      <c r="A3" t="s">
        <v>405</v>
      </c>
      <c r="B3">
        <v>4</v>
      </c>
    </row>
    <row r="4" spans="1:8">
      <c r="A4" t="s">
        <v>406</v>
      </c>
      <c r="B4">
        <v>8</v>
      </c>
    </row>
    <row r="5" spans="1:8">
      <c r="A5" t="s">
        <v>409</v>
      </c>
      <c r="B5">
        <v>4</v>
      </c>
    </row>
    <row r="6" spans="1:8">
      <c r="A6" t="s">
        <v>410</v>
      </c>
      <c r="B6">
        <v>8</v>
      </c>
    </row>
    <row r="7" spans="1:8">
      <c r="A7" t="s">
        <v>412</v>
      </c>
      <c r="B7">
        <v>2</v>
      </c>
    </row>
    <row r="8" spans="1:8">
      <c r="A8" t="s">
        <v>413</v>
      </c>
      <c r="B8">
        <v>12</v>
      </c>
    </row>
    <row r="9" spans="1:8">
      <c r="A9" t="s">
        <v>416</v>
      </c>
      <c r="B9">
        <v>3</v>
      </c>
    </row>
    <row r="10" spans="1:8">
      <c r="A10" t="s">
        <v>417</v>
      </c>
      <c r="B10">
        <v>12</v>
      </c>
    </row>
    <row r="11" spans="1:8">
      <c r="A11" t="s">
        <v>415</v>
      </c>
      <c r="B11">
        <v>1</v>
      </c>
    </row>
    <row r="13" spans="1:8" ht="15">
      <c r="A13" s="5" t="s">
        <v>429</v>
      </c>
    </row>
    <row r="14" spans="1:8">
      <c r="A14" t="s">
        <v>411</v>
      </c>
      <c r="B14">
        <v>1</v>
      </c>
      <c r="C14" t="s">
        <v>419</v>
      </c>
    </row>
    <row r="15" spans="1:8">
      <c r="A15" t="s">
        <v>414</v>
      </c>
      <c r="B15">
        <v>3</v>
      </c>
      <c r="C15" t="s">
        <v>420</v>
      </c>
    </row>
    <row r="17" spans="1:8">
      <c r="A17" t="s">
        <v>421</v>
      </c>
    </row>
    <row r="20" spans="1:8" ht="15">
      <c r="A20" s="5" t="s">
        <v>422</v>
      </c>
    </row>
    <row r="21" spans="1:8">
      <c r="A21" t="s">
        <v>423</v>
      </c>
      <c r="C21" t="s">
        <v>448</v>
      </c>
      <c r="D21" t="s">
        <v>447</v>
      </c>
      <c r="E21" t="s">
        <v>440</v>
      </c>
      <c r="F21">
        <v>9599568</v>
      </c>
      <c r="G21" s="42" t="s">
        <v>449</v>
      </c>
    </row>
    <row r="22" spans="1:8">
      <c r="A22" t="s">
        <v>424</v>
      </c>
      <c r="H22" t="s">
        <v>457</v>
      </c>
    </row>
    <row r="23" spans="1:8">
      <c r="A23" t="s">
        <v>425</v>
      </c>
      <c r="C23" t="s">
        <v>448</v>
      </c>
      <c r="D23" t="s">
        <v>451</v>
      </c>
      <c r="E23" t="s">
        <v>440</v>
      </c>
      <c r="F23">
        <v>860414</v>
      </c>
      <c r="G23" s="42" t="s">
        <v>431</v>
      </c>
    </row>
    <row r="24" spans="1:8">
      <c r="A24" t="s">
        <v>428</v>
      </c>
      <c r="C24" t="s">
        <v>454</v>
      </c>
      <c r="D24" t="s">
        <v>453</v>
      </c>
      <c r="E24" t="s">
        <v>440</v>
      </c>
      <c r="F24">
        <v>4668791</v>
      </c>
      <c r="G24" s="42" t="s">
        <v>452</v>
      </c>
    </row>
    <row r="25" spans="1:8">
      <c r="A25" t="s">
        <v>462</v>
      </c>
    </row>
    <row r="26" spans="1:8">
      <c r="A26" t="s">
        <v>430</v>
      </c>
    </row>
    <row r="27" spans="1:8">
      <c r="A27" t="s">
        <v>432</v>
      </c>
      <c r="C27" t="s">
        <v>446</v>
      </c>
      <c r="D27" t="s">
        <v>445</v>
      </c>
      <c r="E27" t="s">
        <v>440</v>
      </c>
      <c r="F27">
        <v>2501338</v>
      </c>
      <c r="G27" s="42" t="s">
        <v>434</v>
      </c>
      <c r="H27" t="s">
        <v>433</v>
      </c>
    </row>
    <row r="28" spans="1:8">
      <c r="A28" t="s">
        <v>435</v>
      </c>
      <c r="C28" t="s">
        <v>444</v>
      </c>
      <c r="D28" t="s">
        <v>443</v>
      </c>
      <c r="E28" t="s">
        <v>440</v>
      </c>
      <c r="F28">
        <v>3026838</v>
      </c>
      <c r="G28" s="42" t="s">
        <v>436</v>
      </c>
      <c r="H28" t="s">
        <v>437</v>
      </c>
    </row>
    <row r="29" spans="1:8">
      <c r="A29" t="s">
        <v>438</v>
      </c>
      <c r="C29" t="s">
        <v>441</v>
      </c>
      <c r="D29" t="s">
        <v>442</v>
      </c>
      <c r="E29" t="s">
        <v>440</v>
      </c>
      <c r="F29">
        <v>537056</v>
      </c>
      <c r="G29" s="42" t="s">
        <v>439</v>
      </c>
      <c r="H29" t="s">
        <v>456</v>
      </c>
    </row>
    <row r="30" spans="1:8">
      <c r="A30" t="s">
        <v>450</v>
      </c>
      <c r="H30" t="s">
        <v>455</v>
      </c>
    </row>
    <row r="32" spans="1:8" ht="15">
      <c r="A32" s="5" t="s">
        <v>426</v>
      </c>
    </row>
    <row r="33" spans="1:8">
      <c r="A33" t="s">
        <v>427</v>
      </c>
      <c r="C33" s="42" t="s">
        <v>461</v>
      </c>
      <c r="D33" t="s">
        <v>460</v>
      </c>
      <c r="E33" t="s">
        <v>440</v>
      </c>
      <c r="F33">
        <v>1014356</v>
      </c>
      <c r="G33" s="42" t="s">
        <v>458</v>
      </c>
      <c r="H33" t="s">
        <v>459</v>
      </c>
    </row>
  </sheetData>
  <hyperlinks>
    <hyperlink ref="G2" r:id="rId1" xr:uid="{81F61562-A769-40D5-8796-B69511767642}"/>
    <hyperlink ref="G23" r:id="rId2" xr:uid="{232BAE3F-A975-4D69-B8C5-5954671752F8}"/>
    <hyperlink ref="G27" r:id="rId3" xr:uid="{7BEF299E-ADE1-4AE2-84DA-D66885D54700}"/>
    <hyperlink ref="G28" r:id="rId4" xr:uid="{1EF8ACF8-D561-47BA-963C-C17B2436FD60}"/>
    <hyperlink ref="G29" r:id="rId5" xr:uid="{941E74FF-2356-4A7D-8B65-A589D7839EB8}"/>
    <hyperlink ref="G21" r:id="rId6" xr:uid="{86A28CA9-935E-4116-A8B7-E2D4F282CADE}"/>
    <hyperlink ref="G24" r:id="rId7" xr:uid="{1EF97BBF-089A-430A-8FE3-449902852987}"/>
    <hyperlink ref="G33" r:id="rId8" xr:uid="{DE4C2826-E46B-4367-AEEB-F0D92150305C}"/>
    <hyperlink ref="C33" r:id="rId9" display="https://uk.farnell.com/c/tools-production-supplies/tools-hand-workholding/tweezers?brand=weller-erem" xr:uid="{917B40B0-07FF-440B-9D2C-F8AF28993DE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
  <sheetViews>
    <sheetView workbookViewId="0">
      <selection activeCell="I43" sqref="I43"/>
    </sheetView>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76" t="s">
        <v>79</v>
      </c>
      <c r="C3" s="77"/>
      <c r="D3" s="77"/>
      <c r="E3" s="77"/>
      <c r="F3" s="77"/>
      <c r="G3" s="77"/>
      <c r="H3" s="78"/>
      <c r="I3" s="83" t="s">
        <v>234</v>
      </c>
      <c r="J3" s="79" t="s">
        <v>232</v>
      </c>
      <c r="K3" s="79" t="s">
        <v>233</v>
      </c>
      <c r="L3" s="81" t="s">
        <v>7</v>
      </c>
      <c r="M3" s="76" t="s">
        <v>80</v>
      </c>
      <c r="N3" s="78"/>
    </row>
    <row r="4" spans="2:16" ht="96.75" customHeight="1" thickBot="1">
      <c r="B4" s="27" t="s">
        <v>226</v>
      </c>
      <c r="C4" s="28" t="s">
        <v>227</v>
      </c>
      <c r="D4" s="28" t="s">
        <v>228</v>
      </c>
      <c r="E4" s="28" t="s">
        <v>229</v>
      </c>
      <c r="F4" s="31" t="s">
        <v>230</v>
      </c>
      <c r="G4" s="28" t="s">
        <v>235</v>
      </c>
      <c r="H4" s="28" t="s">
        <v>231</v>
      </c>
      <c r="I4" s="84"/>
      <c r="J4" s="80"/>
      <c r="K4" s="80"/>
      <c r="L4" s="82"/>
      <c r="M4" s="11" t="s">
        <v>81</v>
      </c>
      <c r="N4" s="10" t="s">
        <v>82</v>
      </c>
      <c r="P4" s="5" t="s">
        <v>261</v>
      </c>
    </row>
    <row r="5" spans="2:16" ht="15" thickTop="1">
      <c r="B5" s="62">
        <v>2</v>
      </c>
      <c r="C5" s="62">
        <v>1</v>
      </c>
      <c r="D5" s="62">
        <v>2</v>
      </c>
      <c r="E5" s="62">
        <v>2</v>
      </c>
      <c r="F5" s="63">
        <v>2</v>
      </c>
      <c r="G5" s="62">
        <v>2</v>
      </c>
      <c r="H5" s="71" t="s">
        <v>83</v>
      </c>
      <c r="I5" s="38" t="s">
        <v>84</v>
      </c>
      <c r="J5" s="62" t="s">
        <v>86</v>
      </c>
      <c r="K5" s="62" t="s">
        <v>87</v>
      </c>
      <c r="L5" s="61" t="s">
        <v>88</v>
      </c>
      <c r="M5" s="61" t="s">
        <v>88</v>
      </c>
      <c r="N5" s="61" t="s">
        <v>85</v>
      </c>
      <c r="P5" t="s">
        <v>270</v>
      </c>
    </row>
    <row r="6" spans="2:16" ht="15" thickBot="1">
      <c r="B6" s="51"/>
      <c r="C6" s="51"/>
      <c r="D6" s="51"/>
      <c r="E6" s="51"/>
      <c r="F6" s="60"/>
      <c r="G6" s="51"/>
      <c r="H6" s="57"/>
      <c r="I6" s="15" t="s">
        <v>85</v>
      </c>
      <c r="J6" s="51"/>
      <c r="K6" s="51"/>
      <c r="L6" s="48"/>
      <c r="M6" s="48"/>
      <c r="N6" s="48"/>
    </row>
    <row r="7" spans="2:16">
      <c r="B7" s="49">
        <v>3</v>
      </c>
      <c r="C7" s="49">
        <v>2</v>
      </c>
      <c r="D7" s="49">
        <v>3</v>
      </c>
      <c r="E7" s="49">
        <v>3</v>
      </c>
      <c r="F7" s="58">
        <v>3</v>
      </c>
      <c r="G7" s="49">
        <v>3</v>
      </c>
      <c r="H7" s="55" t="s">
        <v>89</v>
      </c>
      <c r="I7" s="38" t="s">
        <v>90</v>
      </c>
      <c r="J7" s="49" t="s">
        <v>86</v>
      </c>
      <c r="K7" s="49" t="s">
        <v>92</v>
      </c>
      <c r="L7" s="46" t="s">
        <v>88</v>
      </c>
      <c r="M7" s="46" t="s">
        <v>88</v>
      </c>
      <c r="N7" s="46" t="s">
        <v>91</v>
      </c>
      <c r="P7" t="s">
        <v>271</v>
      </c>
    </row>
    <row r="8" spans="2:16" ht="24.75" thickBot="1">
      <c r="B8" s="51"/>
      <c r="C8" s="51"/>
      <c r="D8" s="51"/>
      <c r="E8" s="51"/>
      <c r="F8" s="60"/>
      <c r="G8" s="51"/>
      <c r="H8" s="57"/>
      <c r="I8" s="16" t="s">
        <v>91</v>
      </c>
      <c r="J8" s="51"/>
      <c r="K8" s="51"/>
      <c r="L8" s="48"/>
      <c r="M8" s="48"/>
      <c r="N8" s="48"/>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49">
        <v>5</v>
      </c>
      <c r="C11" s="49">
        <v>5</v>
      </c>
      <c r="D11" s="49">
        <v>6</v>
      </c>
      <c r="E11" s="49">
        <v>6</v>
      </c>
      <c r="F11" s="58">
        <v>6</v>
      </c>
      <c r="G11" s="49">
        <v>6</v>
      </c>
      <c r="H11" s="55" t="s">
        <v>100</v>
      </c>
      <c r="I11" s="73" t="s">
        <v>101</v>
      </c>
      <c r="J11" s="49" t="s">
        <v>86</v>
      </c>
      <c r="K11" s="55" t="s">
        <v>102</v>
      </c>
      <c r="L11" s="46" t="s">
        <v>88</v>
      </c>
      <c r="M11" s="29" t="s">
        <v>103</v>
      </c>
      <c r="N11" s="14" t="s">
        <v>109</v>
      </c>
      <c r="P11" t="s">
        <v>272</v>
      </c>
    </row>
    <row r="12" spans="2:16" ht="24">
      <c r="B12" s="50"/>
      <c r="C12" s="50"/>
      <c r="D12" s="50"/>
      <c r="E12" s="50"/>
      <c r="F12" s="59"/>
      <c r="G12" s="50"/>
      <c r="H12" s="56"/>
      <c r="I12" s="74"/>
      <c r="J12" s="50"/>
      <c r="K12" s="56"/>
      <c r="L12" s="47"/>
      <c r="M12" s="14" t="s">
        <v>104</v>
      </c>
      <c r="N12" s="29" t="s">
        <v>110</v>
      </c>
    </row>
    <row r="13" spans="2:16" ht="24">
      <c r="B13" s="50"/>
      <c r="C13" s="50"/>
      <c r="D13" s="50"/>
      <c r="E13" s="50"/>
      <c r="F13" s="59"/>
      <c r="G13" s="50"/>
      <c r="H13" s="56"/>
      <c r="I13" s="74"/>
      <c r="J13" s="50"/>
      <c r="K13" s="56"/>
      <c r="L13" s="47"/>
      <c r="M13" s="14" t="s">
        <v>105</v>
      </c>
      <c r="N13" s="13" t="s">
        <v>111</v>
      </c>
    </row>
    <row r="14" spans="2:16" ht="36">
      <c r="B14" s="50"/>
      <c r="C14" s="50"/>
      <c r="D14" s="50"/>
      <c r="E14" s="50"/>
      <c r="F14" s="59"/>
      <c r="G14" s="50"/>
      <c r="H14" s="56"/>
      <c r="I14" s="74"/>
      <c r="J14" s="50"/>
      <c r="K14" s="56"/>
      <c r="L14" s="47"/>
      <c r="M14" s="14" t="s">
        <v>106</v>
      </c>
      <c r="N14" s="14" t="s">
        <v>112</v>
      </c>
    </row>
    <row r="15" spans="2:16" ht="24">
      <c r="B15" s="50"/>
      <c r="C15" s="50"/>
      <c r="D15" s="50"/>
      <c r="E15" s="50"/>
      <c r="F15" s="59"/>
      <c r="G15" s="50"/>
      <c r="H15" s="56"/>
      <c r="I15" s="74"/>
      <c r="J15" s="50"/>
      <c r="K15" s="56"/>
      <c r="L15" s="47"/>
      <c r="M15" s="29" t="s">
        <v>107</v>
      </c>
      <c r="N15" s="22"/>
    </row>
    <row r="16" spans="2:16" ht="24.75" thickBot="1">
      <c r="B16" s="51"/>
      <c r="C16" s="51"/>
      <c r="D16" s="51"/>
      <c r="E16" s="51"/>
      <c r="F16" s="60"/>
      <c r="G16" s="51"/>
      <c r="H16" s="57"/>
      <c r="I16" s="75"/>
      <c r="J16" s="51"/>
      <c r="K16" s="57"/>
      <c r="L16" s="48"/>
      <c r="M16" s="21" t="s">
        <v>108</v>
      </c>
      <c r="N16" s="18"/>
    </row>
    <row r="17" spans="2:16" ht="24">
      <c r="B17" s="49">
        <v>6</v>
      </c>
      <c r="C17" s="49">
        <v>6</v>
      </c>
      <c r="D17" s="49">
        <v>7</v>
      </c>
      <c r="E17" s="49">
        <v>7</v>
      </c>
      <c r="F17" s="58">
        <v>7</v>
      </c>
      <c r="G17" s="49">
        <v>7</v>
      </c>
      <c r="H17" s="55" t="s">
        <v>113</v>
      </c>
      <c r="I17" s="46" t="s">
        <v>114</v>
      </c>
      <c r="J17" s="49" t="s">
        <v>86</v>
      </c>
      <c r="K17" s="49" t="s">
        <v>87</v>
      </c>
      <c r="L17" s="46" t="s">
        <v>88</v>
      </c>
      <c r="M17" s="23" t="s">
        <v>115</v>
      </c>
      <c r="N17" s="25" t="s">
        <v>237</v>
      </c>
    </row>
    <row r="18" spans="2:16" ht="24">
      <c r="B18" s="50"/>
      <c r="C18" s="50"/>
      <c r="D18" s="50"/>
      <c r="E18" s="50"/>
      <c r="F18" s="59"/>
      <c r="G18" s="50"/>
      <c r="H18" s="56"/>
      <c r="I18" s="47"/>
      <c r="J18" s="50"/>
      <c r="K18" s="50"/>
      <c r="L18" s="47"/>
      <c r="M18" s="23" t="s">
        <v>116</v>
      </c>
      <c r="N18" s="35" t="s">
        <v>238</v>
      </c>
    </row>
    <row r="19" spans="2:16">
      <c r="B19" s="50"/>
      <c r="C19" s="50"/>
      <c r="D19" s="50"/>
      <c r="E19" s="50"/>
      <c r="F19" s="59"/>
      <c r="G19" s="50"/>
      <c r="H19" s="56"/>
      <c r="I19" s="47"/>
      <c r="J19" s="50"/>
      <c r="K19" s="50"/>
      <c r="L19" s="47"/>
      <c r="M19" s="14" t="s">
        <v>117</v>
      </c>
      <c r="N19" s="26"/>
    </row>
    <row r="20" spans="2:16" ht="24">
      <c r="B20" s="50"/>
      <c r="C20" s="50"/>
      <c r="D20" s="50"/>
      <c r="E20" s="50"/>
      <c r="F20" s="59"/>
      <c r="G20" s="50"/>
      <c r="H20" s="56"/>
      <c r="I20" s="47"/>
      <c r="J20" s="50"/>
      <c r="K20" s="50"/>
      <c r="L20" s="47"/>
      <c r="M20" s="23" t="s">
        <v>118</v>
      </c>
      <c r="N20" s="26"/>
    </row>
    <row r="21" spans="2:16" ht="24">
      <c r="B21" s="50"/>
      <c r="C21" s="50"/>
      <c r="D21" s="50"/>
      <c r="E21" s="50"/>
      <c r="F21" s="59"/>
      <c r="G21" s="50"/>
      <c r="H21" s="56"/>
      <c r="I21" s="47"/>
      <c r="J21" s="50"/>
      <c r="K21" s="50"/>
      <c r="L21" s="47"/>
      <c r="M21" s="13" t="s">
        <v>119</v>
      </c>
      <c r="N21" s="26"/>
    </row>
    <row r="22" spans="2:16" ht="24">
      <c r="B22" s="50"/>
      <c r="C22" s="50"/>
      <c r="D22" s="50"/>
      <c r="E22" s="50"/>
      <c r="F22" s="59"/>
      <c r="G22" s="50"/>
      <c r="H22" s="56"/>
      <c r="I22" s="47"/>
      <c r="J22" s="50"/>
      <c r="K22" s="50"/>
      <c r="L22" s="47"/>
      <c r="M22" s="14" t="s">
        <v>120</v>
      </c>
      <c r="N22" s="26"/>
    </row>
    <row r="23" spans="2:16" ht="24.75" thickBot="1">
      <c r="B23" s="51"/>
      <c r="C23" s="51"/>
      <c r="D23" s="51"/>
      <c r="E23" s="51"/>
      <c r="F23" s="60"/>
      <c r="G23" s="51"/>
      <c r="H23" s="57"/>
      <c r="I23" s="48"/>
      <c r="J23" s="51"/>
      <c r="K23" s="51"/>
      <c r="L23" s="48"/>
      <c r="M23" s="40" t="s">
        <v>121</v>
      </c>
      <c r="N23" s="24"/>
    </row>
    <row r="24" spans="2:16" ht="36">
      <c r="B24" s="46" t="s">
        <v>88</v>
      </c>
      <c r="C24" s="46" t="s">
        <v>88</v>
      </c>
      <c r="D24" s="49">
        <v>8</v>
      </c>
      <c r="E24" s="49">
        <v>8</v>
      </c>
      <c r="F24" s="58">
        <v>8</v>
      </c>
      <c r="G24" s="49">
        <v>8</v>
      </c>
      <c r="H24" s="55" t="s">
        <v>122</v>
      </c>
      <c r="I24" s="46" t="s">
        <v>123</v>
      </c>
      <c r="J24" s="49" t="s">
        <v>86</v>
      </c>
      <c r="K24" s="55" t="s">
        <v>102</v>
      </c>
      <c r="L24" s="46" t="s">
        <v>88</v>
      </c>
      <c r="M24" s="14" t="s">
        <v>124</v>
      </c>
      <c r="N24" s="14" t="s">
        <v>128</v>
      </c>
    </row>
    <row r="25" spans="2:16" ht="24">
      <c r="B25" s="47"/>
      <c r="C25" s="47"/>
      <c r="D25" s="50"/>
      <c r="E25" s="50"/>
      <c r="F25" s="59"/>
      <c r="G25" s="50"/>
      <c r="H25" s="56"/>
      <c r="I25" s="47"/>
      <c r="J25" s="50"/>
      <c r="K25" s="56"/>
      <c r="L25" s="47"/>
      <c r="M25" s="29" t="s">
        <v>125</v>
      </c>
      <c r="N25" s="38" t="s">
        <v>129</v>
      </c>
      <c r="P25" t="s">
        <v>264</v>
      </c>
    </row>
    <row r="26" spans="2:16" ht="24">
      <c r="B26" s="47"/>
      <c r="C26" s="47"/>
      <c r="D26" s="50"/>
      <c r="E26" s="50"/>
      <c r="F26" s="59"/>
      <c r="G26" s="50"/>
      <c r="H26" s="56"/>
      <c r="I26" s="47"/>
      <c r="J26" s="50"/>
      <c r="K26" s="56"/>
      <c r="L26" s="47"/>
      <c r="M26" s="14" t="s">
        <v>126</v>
      </c>
      <c r="N26" s="13" t="s">
        <v>130</v>
      </c>
    </row>
    <row r="27" spans="2:16" ht="24.75" thickBot="1">
      <c r="B27" s="48"/>
      <c r="C27" s="48"/>
      <c r="D27" s="51"/>
      <c r="E27" s="51"/>
      <c r="F27" s="60"/>
      <c r="G27" s="51"/>
      <c r="H27" s="57"/>
      <c r="I27" s="48"/>
      <c r="J27" s="51"/>
      <c r="K27" s="57"/>
      <c r="L27" s="48"/>
      <c r="M27" s="19" t="s">
        <v>127</v>
      </c>
      <c r="N27" s="19" t="s">
        <v>131</v>
      </c>
    </row>
    <row r="28" spans="2:16" ht="24">
      <c r="B28" s="46" t="s">
        <v>88</v>
      </c>
      <c r="C28" s="46" t="s">
        <v>88</v>
      </c>
      <c r="D28" s="49">
        <v>9</v>
      </c>
      <c r="E28" s="49">
        <v>9</v>
      </c>
      <c r="F28" s="58">
        <v>9</v>
      </c>
      <c r="G28" s="49">
        <v>9</v>
      </c>
      <c r="H28" s="55" t="s">
        <v>132</v>
      </c>
      <c r="I28" s="46" t="s">
        <v>133</v>
      </c>
      <c r="J28" s="49" t="s">
        <v>86</v>
      </c>
      <c r="K28" s="49" t="s">
        <v>87</v>
      </c>
      <c r="L28" s="46" t="s">
        <v>88</v>
      </c>
      <c r="M28" s="14" t="s">
        <v>134</v>
      </c>
      <c r="N28" s="25" t="s">
        <v>239</v>
      </c>
    </row>
    <row r="29" spans="2:16">
      <c r="B29" s="47"/>
      <c r="C29" s="47"/>
      <c r="D29" s="50"/>
      <c r="E29" s="50"/>
      <c r="F29" s="59"/>
      <c r="G29" s="50"/>
      <c r="H29" s="56"/>
      <c r="I29" s="47"/>
      <c r="J29" s="50"/>
      <c r="K29" s="50"/>
      <c r="L29" s="47"/>
      <c r="M29" s="14" t="s">
        <v>135</v>
      </c>
      <c r="N29" s="35" t="s">
        <v>240</v>
      </c>
    </row>
    <row r="30" spans="2:16" ht="24">
      <c r="B30" s="47"/>
      <c r="C30" s="47"/>
      <c r="D30" s="50"/>
      <c r="E30" s="50"/>
      <c r="F30" s="59"/>
      <c r="G30" s="50"/>
      <c r="H30" s="56"/>
      <c r="I30" s="47"/>
      <c r="J30" s="50"/>
      <c r="K30" s="50"/>
      <c r="L30" s="47"/>
      <c r="M30" s="29" t="s">
        <v>103</v>
      </c>
      <c r="N30" s="26"/>
    </row>
    <row r="31" spans="2:16" ht="24.75" thickBot="1">
      <c r="B31" s="48"/>
      <c r="C31" s="48"/>
      <c r="D31" s="51"/>
      <c r="E31" s="51"/>
      <c r="F31" s="60"/>
      <c r="G31" s="51"/>
      <c r="H31" s="57"/>
      <c r="I31" s="48"/>
      <c r="J31" s="51"/>
      <c r="K31" s="51"/>
      <c r="L31" s="48"/>
      <c r="M31" s="40" t="s">
        <v>136</v>
      </c>
      <c r="N31" s="24"/>
    </row>
    <row r="32" spans="2:16" ht="24">
      <c r="B32" s="49">
        <v>7</v>
      </c>
      <c r="C32" s="49">
        <v>7</v>
      </c>
      <c r="D32" s="49">
        <v>10</v>
      </c>
      <c r="E32" s="49">
        <v>10</v>
      </c>
      <c r="F32" s="58">
        <v>10</v>
      </c>
      <c r="G32" s="49">
        <v>10</v>
      </c>
      <c r="H32" s="55" t="s">
        <v>137</v>
      </c>
      <c r="I32" s="46" t="s">
        <v>138</v>
      </c>
      <c r="J32" s="49" t="s">
        <v>86</v>
      </c>
      <c r="K32" s="55" t="s">
        <v>102</v>
      </c>
      <c r="L32" s="46" t="s">
        <v>88</v>
      </c>
      <c r="M32" s="14" t="s">
        <v>139</v>
      </c>
      <c r="N32" s="14" t="s">
        <v>109</v>
      </c>
    </row>
    <row r="33" spans="2:16" ht="24">
      <c r="B33" s="50"/>
      <c r="C33" s="50"/>
      <c r="D33" s="50"/>
      <c r="E33" s="50"/>
      <c r="F33" s="59"/>
      <c r="G33" s="50"/>
      <c r="H33" s="56"/>
      <c r="I33" s="47"/>
      <c r="J33" s="50"/>
      <c r="K33" s="56"/>
      <c r="L33" s="47"/>
      <c r="M33" s="14" t="s">
        <v>104</v>
      </c>
      <c r="N33" s="14" t="s">
        <v>128</v>
      </c>
    </row>
    <row r="34" spans="2:16" ht="36">
      <c r="B34" s="50"/>
      <c r="C34" s="50"/>
      <c r="D34" s="50"/>
      <c r="E34" s="50"/>
      <c r="F34" s="59"/>
      <c r="G34" s="50"/>
      <c r="H34" s="56"/>
      <c r="I34" s="47"/>
      <c r="J34" s="50"/>
      <c r="K34" s="56"/>
      <c r="L34" s="47"/>
      <c r="M34" s="14" t="s">
        <v>140</v>
      </c>
      <c r="N34" s="38" t="s">
        <v>143</v>
      </c>
      <c r="P34" t="s">
        <v>262</v>
      </c>
    </row>
    <row r="35" spans="2:16" ht="24">
      <c r="B35" s="50"/>
      <c r="C35" s="50"/>
      <c r="D35" s="50"/>
      <c r="E35" s="50"/>
      <c r="F35" s="59"/>
      <c r="G35" s="50"/>
      <c r="H35" s="56"/>
      <c r="I35" s="47"/>
      <c r="J35" s="50"/>
      <c r="K35" s="56"/>
      <c r="L35" s="47"/>
      <c r="M35" s="23" t="s">
        <v>141</v>
      </c>
      <c r="N35" s="22"/>
    </row>
    <row r="36" spans="2:16">
      <c r="B36" s="50"/>
      <c r="C36" s="50"/>
      <c r="D36" s="50"/>
      <c r="E36" s="50"/>
      <c r="F36" s="59"/>
      <c r="G36" s="50"/>
      <c r="H36" s="56"/>
      <c r="I36" s="47"/>
      <c r="J36" s="50"/>
      <c r="K36" s="56"/>
      <c r="L36" s="47"/>
      <c r="M36" s="14" t="s">
        <v>142</v>
      </c>
      <c r="N36" s="22"/>
    </row>
    <row r="37" spans="2:16" ht="24">
      <c r="B37" s="50"/>
      <c r="C37" s="50"/>
      <c r="D37" s="50"/>
      <c r="E37" s="50"/>
      <c r="F37" s="59"/>
      <c r="G37" s="50"/>
      <c r="H37" s="56"/>
      <c r="I37" s="47"/>
      <c r="J37" s="50"/>
      <c r="K37" s="56"/>
      <c r="L37" s="47"/>
      <c r="M37" s="37" t="s">
        <v>126</v>
      </c>
      <c r="N37" s="22"/>
    </row>
    <row r="38" spans="2:16" ht="24.75" thickBot="1">
      <c r="B38" s="51"/>
      <c r="C38" s="51"/>
      <c r="D38" s="51"/>
      <c r="E38" s="51"/>
      <c r="F38" s="60"/>
      <c r="G38" s="51"/>
      <c r="H38" s="57"/>
      <c r="I38" s="48"/>
      <c r="J38" s="51"/>
      <c r="K38" s="57"/>
      <c r="L38" s="48"/>
      <c r="M38" s="21" t="s">
        <v>127</v>
      </c>
      <c r="N38" s="18"/>
    </row>
    <row r="39" spans="2:16" ht="24.75" thickTop="1">
      <c r="B39" s="61" t="s">
        <v>88</v>
      </c>
      <c r="C39" s="62">
        <v>8</v>
      </c>
      <c r="D39" s="62">
        <v>11</v>
      </c>
      <c r="E39" s="62">
        <v>11</v>
      </c>
      <c r="F39" s="63">
        <v>11</v>
      </c>
      <c r="G39" s="62">
        <v>11</v>
      </c>
      <c r="H39" s="71" t="s">
        <v>144</v>
      </c>
      <c r="I39" s="61" t="s">
        <v>145</v>
      </c>
      <c r="J39" s="62" t="s">
        <v>86</v>
      </c>
      <c r="K39" s="71" t="s">
        <v>102</v>
      </c>
      <c r="L39" s="61" t="s">
        <v>88</v>
      </c>
      <c r="M39" s="14" t="s">
        <v>146</v>
      </c>
      <c r="N39" s="14" t="s">
        <v>109</v>
      </c>
    </row>
    <row r="40" spans="2:16" ht="24">
      <c r="B40" s="47"/>
      <c r="C40" s="50"/>
      <c r="D40" s="50"/>
      <c r="E40" s="50"/>
      <c r="F40" s="59"/>
      <c r="G40" s="50"/>
      <c r="H40" s="56"/>
      <c r="I40" s="47"/>
      <c r="J40" s="50"/>
      <c r="K40" s="56"/>
      <c r="L40" s="47"/>
      <c r="M40" s="14" t="s">
        <v>116</v>
      </c>
      <c r="N40" s="14" t="s">
        <v>128</v>
      </c>
    </row>
    <row r="41" spans="2:16">
      <c r="B41" s="47"/>
      <c r="C41" s="50"/>
      <c r="D41" s="50"/>
      <c r="E41" s="50"/>
      <c r="F41" s="59"/>
      <c r="G41" s="50"/>
      <c r="H41" s="56"/>
      <c r="I41" s="47"/>
      <c r="J41" s="50"/>
      <c r="K41" s="56"/>
      <c r="L41" s="47"/>
      <c r="M41" s="14" t="s">
        <v>142</v>
      </c>
      <c r="N41" s="38" t="s">
        <v>148</v>
      </c>
      <c r="P41" t="s">
        <v>263</v>
      </c>
    </row>
    <row r="42" spans="2:16" ht="15" thickBot="1">
      <c r="B42" s="48"/>
      <c r="C42" s="51"/>
      <c r="D42" s="51"/>
      <c r="E42" s="51"/>
      <c r="F42" s="60"/>
      <c r="G42" s="51"/>
      <c r="H42" s="57"/>
      <c r="I42" s="48"/>
      <c r="J42" s="51"/>
      <c r="K42" s="57"/>
      <c r="L42" s="48"/>
      <c r="M42" s="19" t="s">
        <v>147</v>
      </c>
      <c r="N42" s="18"/>
    </row>
    <row r="43" spans="2:16">
      <c r="B43" s="46" t="s">
        <v>88</v>
      </c>
      <c r="C43" s="49">
        <v>9</v>
      </c>
      <c r="D43" s="49">
        <v>12</v>
      </c>
      <c r="E43" s="49">
        <v>12</v>
      </c>
      <c r="F43" s="58">
        <v>12</v>
      </c>
      <c r="G43" s="49">
        <v>12</v>
      </c>
      <c r="H43" s="55" t="s">
        <v>149</v>
      </c>
      <c r="I43" s="46" t="s">
        <v>150</v>
      </c>
      <c r="J43" s="49" t="s">
        <v>86</v>
      </c>
      <c r="K43" s="49" t="s">
        <v>87</v>
      </c>
      <c r="L43" s="46" t="s">
        <v>88</v>
      </c>
      <c r="M43" s="14" t="s">
        <v>151</v>
      </c>
      <c r="N43" s="70" t="s">
        <v>154</v>
      </c>
      <c r="P43" t="s">
        <v>370</v>
      </c>
    </row>
    <row r="44" spans="2:16" ht="24">
      <c r="B44" s="47"/>
      <c r="C44" s="50"/>
      <c r="D44" s="50"/>
      <c r="E44" s="50"/>
      <c r="F44" s="59"/>
      <c r="G44" s="50"/>
      <c r="H44" s="56"/>
      <c r="I44" s="47"/>
      <c r="J44" s="50"/>
      <c r="K44" s="50"/>
      <c r="L44" s="47"/>
      <c r="M44" s="14" t="s">
        <v>152</v>
      </c>
      <c r="N44" s="65"/>
    </row>
    <row r="45" spans="2:16" ht="24">
      <c r="B45" s="47"/>
      <c r="C45" s="50"/>
      <c r="D45" s="50"/>
      <c r="E45" s="50"/>
      <c r="F45" s="59"/>
      <c r="G45" s="50"/>
      <c r="H45" s="56"/>
      <c r="I45" s="47"/>
      <c r="J45" s="50"/>
      <c r="K45" s="50"/>
      <c r="L45" s="47"/>
      <c r="M45" s="14" t="s">
        <v>153</v>
      </c>
      <c r="N45" s="65"/>
    </row>
    <row r="46" spans="2:16" ht="24">
      <c r="B46" s="47"/>
      <c r="C46" s="50"/>
      <c r="D46" s="50"/>
      <c r="E46" s="50"/>
      <c r="F46" s="59"/>
      <c r="G46" s="50"/>
      <c r="H46" s="56"/>
      <c r="I46" s="47"/>
      <c r="J46" s="50"/>
      <c r="K46" s="50"/>
      <c r="L46" s="47"/>
      <c r="M46" s="14" t="s">
        <v>115</v>
      </c>
      <c r="N46" s="65"/>
    </row>
    <row r="47" spans="2:16" ht="24.75" thickBot="1">
      <c r="B47" s="48"/>
      <c r="C47" s="51"/>
      <c r="D47" s="51"/>
      <c r="E47" s="51"/>
      <c r="F47" s="60"/>
      <c r="G47" s="51"/>
      <c r="H47" s="57"/>
      <c r="I47" s="48"/>
      <c r="J47" s="51"/>
      <c r="K47" s="51"/>
      <c r="L47" s="48"/>
      <c r="M47" s="19" t="s">
        <v>108</v>
      </c>
      <c r="N47" s="66"/>
    </row>
    <row r="48" spans="2:16" ht="14.25" customHeight="1">
      <c r="B48" s="49">
        <v>8</v>
      </c>
      <c r="C48" s="49">
        <v>10</v>
      </c>
      <c r="D48" s="49">
        <v>13</v>
      </c>
      <c r="E48" s="49">
        <v>13</v>
      </c>
      <c r="F48" s="58">
        <v>13</v>
      </c>
      <c r="G48" s="49">
        <v>13</v>
      </c>
      <c r="H48" s="55" t="s">
        <v>155</v>
      </c>
      <c r="I48" s="46" t="s">
        <v>156</v>
      </c>
      <c r="J48" s="49" t="s">
        <v>86</v>
      </c>
      <c r="K48" s="49" t="s">
        <v>87</v>
      </c>
      <c r="L48" s="46" t="s">
        <v>88</v>
      </c>
      <c r="M48" s="14" t="s">
        <v>157</v>
      </c>
      <c r="N48" s="46" t="s">
        <v>241</v>
      </c>
    </row>
    <row r="49" spans="2:16" ht="24">
      <c r="B49" s="50"/>
      <c r="C49" s="50"/>
      <c r="D49" s="50"/>
      <c r="E49" s="50"/>
      <c r="F49" s="59"/>
      <c r="G49" s="50"/>
      <c r="H49" s="56"/>
      <c r="I49" s="47"/>
      <c r="J49" s="50"/>
      <c r="K49" s="50"/>
      <c r="L49" s="47"/>
      <c r="M49" s="14" t="s">
        <v>158</v>
      </c>
      <c r="N49" s="47"/>
    </row>
    <row r="50" spans="2:16" ht="24">
      <c r="B50" s="50"/>
      <c r="C50" s="50"/>
      <c r="D50" s="50"/>
      <c r="E50" s="50"/>
      <c r="F50" s="59"/>
      <c r="G50" s="50"/>
      <c r="H50" s="56"/>
      <c r="I50" s="47"/>
      <c r="J50" s="50"/>
      <c r="K50" s="50"/>
      <c r="L50" s="47"/>
      <c r="M50" s="14" t="s">
        <v>159</v>
      </c>
      <c r="N50" s="41" t="s">
        <v>242</v>
      </c>
      <c r="P50" t="s">
        <v>369</v>
      </c>
    </row>
    <row r="51" spans="2:16" ht="24">
      <c r="B51" s="50"/>
      <c r="C51" s="50"/>
      <c r="D51" s="50"/>
      <c r="E51" s="50"/>
      <c r="F51" s="59"/>
      <c r="G51" s="50"/>
      <c r="H51" s="56"/>
      <c r="I51" s="47"/>
      <c r="J51" s="50"/>
      <c r="K51" s="50"/>
      <c r="L51" s="47"/>
      <c r="M51" s="14" t="s">
        <v>120</v>
      </c>
      <c r="N51" s="26"/>
    </row>
    <row r="52" spans="2:16" ht="24">
      <c r="B52" s="50"/>
      <c r="C52" s="50"/>
      <c r="D52" s="50"/>
      <c r="E52" s="50"/>
      <c r="F52" s="59"/>
      <c r="G52" s="50"/>
      <c r="H52" s="56"/>
      <c r="I52" s="47"/>
      <c r="J52" s="50"/>
      <c r="K52" s="50"/>
      <c r="L52" s="47"/>
      <c r="M52" s="14" t="s">
        <v>115</v>
      </c>
      <c r="N52" s="26"/>
    </row>
    <row r="53" spans="2:16" ht="24.75" thickBot="1">
      <c r="B53" s="51"/>
      <c r="C53" s="51"/>
      <c r="D53" s="51"/>
      <c r="E53" s="51"/>
      <c r="F53" s="60"/>
      <c r="G53" s="51"/>
      <c r="H53" s="57"/>
      <c r="I53" s="48"/>
      <c r="J53" s="51"/>
      <c r="K53" s="51"/>
      <c r="L53" s="48"/>
      <c r="M53" s="21" t="s">
        <v>127</v>
      </c>
      <c r="N53" s="24"/>
    </row>
    <row r="54" spans="2:16" ht="24">
      <c r="B54" s="46" t="s">
        <v>88</v>
      </c>
      <c r="C54" s="46" t="s">
        <v>88</v>
      </c>
      <c r="D54" s="46" t="s">
        <v>88</v>
      </c>
      <c r="E54" s="49">
        <v>14</v>
      </c>
      <c r="F54" s="58">
        <v>14</v>
      </c>
      <c r="G54" s="49">
        <v>14</v>
      </c>
      <c r="H54" s="55" t="s">
        <v>160</v>
      </c>
      <c r="I54" s="70" t="s">
        <v>161</v>
      </c>
      <c r="J54" s="49" t="s">
        <v>86</v>
      </c>
      <c r="K54" s="49" t="s">
        <v>87</v>
      </c>
      <c r="L54" s="46" t="s">
        <v>88</v>
      </c>
      <c r="M54" s="14" t="s">
        <v>115</v>
      </c>
      <c r="N54" s="29" t="s">
        <v>163</v>
      </c>
      <c r="P54" t="s">
        <v>265</v>
      </c>
    </row>
    <row r="55" spans="2:16">
      <c r="B55" s="47"/>
      <c r="C55" s="47"/>
      <c r="D55" s="47"/>
      <c r="E55" s="50"/>
      <c r="F55" s="59"/>
      <c r="G55" s="50"/>
      <c r="H55" s="56"/>
      <c r="I55" s="65"/>
      <c r="J55" s="50"/>
      <c r="K55" s="50"/>
      <c r="L55" s="47"/>
      <c r="M55" s="14" t="s">
        <v>151</v>
      </c>
      <c r="N55" s="14" t="s">
        <v>164</v>
      </c>
    </row>
    <row r="56" spans="2:16">
      <c r="B56" s="47"/>
      <c r="C56" s="47"/>
      <c r="D56" s="47"/>
      <c r="E56" s="50"/>
      <c r="F56" s="59"/>
      <c r="G56" s="50"/>
      <c r="H56" s="56"/>
      <c r="I56" s="65"/>
      <c r="J56" s="50"/>
      <c r="K56" s="50"/>
      <c r="L56" s="47"/>
      <c r="M56" s="14" t="s">
        <v>117</v>
      </c>
      <c r="N56" s="22"/>
    </row>
    <row r="57" spans="2:16" ht="24">
      <c r="B57" s="47"/>
      <c r="C57" s="47"/>
      <c r="D57" s="47"/>
      <c r="E57" s="50"/>
      <c r="F57" s="59"/>
      <c r="G57" s="50"/>
      <c r="H57" s="56"/>
      <c r="I57" s="65"/>
      <c r="J57" s="50"/>
      <c r="K57" s="50"/>
      <c r="L57" s="47"/>
      <c r="M57" s="13" t="s">
        <v>119</v>
      </c>
      <c r="N57" s="22"/>
    </row>
    <row r="58" spans="2:16" ht="15" thickBot="1">
      <c r="B58" s="48"/>
      <c r="C58" s="48"/>
      <c r="D58" s="48"/>
      <c r="E58" s="51"/>
      <c r="F58" s="60"/>
      <c r="G58" s="51"/>
      <c r="H58" s="57"/>
      <c r="I58" s="66"/>
      <c r="J58" s="51"/>
      <c r="K58" s="51"/>
      <c r="L58" s="48"/>
      <c r="M58" s="19" t="s">
        <v>162</v>
      </c>
      <c r="N58" s="18"/>
    </row>
    <row r="59" spans="2:16" ht="24">
      <c r="B59" s="46" t="s">
        <v>88</v>
      </c>
      <c r="C59" s="49">
        <v>11</v>
      </c>
      <c r="D59" s="49">
        <v>14</v>
      </c>
      <c r="E59" s="49">
        <v>15</v>
      </c>
      <c r="F59" s="58">
        <v>15</v>
      </c>
      <c r="G59" s="49">
        <v>15</v>
      </c>
      <c r="H59" s="55" t="s">
        <v>165</v>
      </c>
      <c r="I59" s="70" t="s">
        <v>166</v>
      </c>
      <c r="J59" s="49" t="s">
        <v>86</v>
      </c>
      <c r="K59" s="49" t="s">
        <v>87</v>
      </c>
      <c r="L59" s="46" t="s">
        <v>88</v>
      </c>
      <c r="M59" s="14" t="s">
        <v>141</v>
      </c>
      <c r="N59" s="29" t="s">
        <v>169</v>
      </c>
      <c r="P59" t="s">
        <v>266</v>
      </c>
    </row>
    <row r="60" spans="2:16">
      <c r="B60" s="47"/>
      <c r="C60" s="50"/>
      <c r="D60" s="50"/>
      <c r="E60" s="50"/>
      <c r="F60" s="59"/>
      <c r="G60" s="50"/>
      <c r="H60" s="56"/>
      <c r="I60" s="65"/>
      <c r="J60" s="50"/>
      <c r="K60" s="50"/>
      <c r="L60" s="47"/>
      <c r="M60" s="14" t="s">
        <v>157</v>
      </c>
      <c r="N60" s="14" t="s">
        <v>164</v>
      </c>
    </row>
    <row r="61" spans="2:16" ht="24">
      <c r="B61" s="47"/>
      <c r="C61" s="50"/>
      <c r="D61" s="50"/>
      <c r="E61" s="50"/>
      <c r="F61" s="59"/>
      <c r="G61" s="50"/>
      <c r="H61" s="56"/>
      <c r="I61" s="65"/>
      <c r="J61" s="50"/>
      <c r="K61" s="50"/>
      <c r="L61" s="47"/>
      <c r="M61" s="14" t="s">
        <v>104</v>
      </c>
      <c r="N61" s="22"/>
    </row>
    <row r="62" spans="2:16" ht="24">
      <c r="B62" s="47"/>
      <c r="C62" s="50"/>
      <c r="D62" s="50"/>
      <c r="E62" s="50"/>
      <c r="F62" s="59"/>
      <c r="G62" s="50"/>
      <c r="H62" s="56"/>
      <c r="I62" s="65"/>
      <c r="J62" s="50"/>
      <c r="K62" s="50"/>
      <c r="L62" s="47"/>
      <c r="M62" s="13" t="s">
        <v>167</v>
      </c>
      <c r="N62" s="22"/>
    </row>
    <row r="63" spans="2:16" ht="15" thickBot="1">
      <c r="B63" s="48"/>
      <c r="C63" s="51"/>
      <c r="D63" s="51"/>
      <c r="E63" s="51"/>
      <c r="F63" s="60"/>
      <c r="G63" s="51"/>
      <c r="H63" s="57"/>
      <c r="I63" s="66"/>
      <c r="J63" s="51"/>
      <c r="K63" s="51"/>
      <c r="L63" s="48"/>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46" t="s">
        <v>88</v>
      </c>
      <c r="C67" s="46" t="s">
        <v>88</v>
      </c>
      <c r="D67" s="46" t="s">
        <v>88</v>
      </c>
      <c r="E67" s="49">
        <v>18</v>
      </c>
      <c r="F67" s="58">
        <v>18</v>
      </c>
      <c r="G67" s="49">
        <v>18</v>
      </c>
      <c r="H67" s="55" t="s">
        <v>176</v>
      </c>
      <c r="I67" s="70" t="s">
        <v>177</v>
      </c>
      <c r="J67" s="49" t="s">
        <v>86</v>
      </c>
      <c r="K67" s="49" t="s">
        <v>87</v>
      </c>
      <c r="L67" s="46" t="s">
        <v>88</v>
      </c>
      <c r="M67" s="13" t="s">
        <v>178</v>
      </c>
      <c r="N67" s="46" t="s">
        <v>88</v>
      </c>
      <c r="P67" t="s">
        <v>273</v>
      </c>
    </row>
    <row r="68" spans="2:16" ht="24">
      <c r="B68" s="47"/>
      <c r="C68" s="47"/>
      <c r="D68" s="47"/>
      <c r="E68" s="50"/>
      <c r="F68" s="59"/>
      <c r="G68" s="50"/>
      <c r="H68" s="56"/>
      <c r="I68" s="65"/>
      <c r="J68" s="50"/>
      <c r="K68" s="50"/>
      <c r="L68" s="47"/>
      <c r="M68" s="14" t="s">
        <v>115</v>
      </c>
      <c r="N68" s="47"/>
    </row>
    <row r="69" spans="2:16" ht="24">
      <c r="B69" s="47"/>
      <c r="C69" s="47"/>
      <c r="D69" s="47"/>
      <c r="E69" s="50"/>
      <c r="F69" s="59"/>
      <c r="G69" s="50"/>
      <c r="H69" s="56"/>
      <c r="I69" s="65"/>
      <c r="J69" s="50"/>
      <c r="K69" s="50"/>
      <c r="L69" s="47"/>
      <c r="M69" s="14" t="s">
        <v>141</v>
      </c>
      <c r="N69" s="47"/>
    </row>
    <row r="70" spans="2:16" ht="15" thickBot="1">
      <c r="B70" s="48"/>
      <c r="C70" s="48"/>
      <c r="D70" s="48"/>
      <c r="E70" s="51"/>
      <c r="F70" s="60"/>
      <c r="G70" s="51"/>
      <c r="H70" s="57"/>
      <c r="I70" s="66"/>
      <c r="J70" s="51"/>
      <c r="K70" s="51"/>
      <c r="L70" s="48"/>
      <c r="M70" s="19" t="s">
        <v>147</v>
      </c>
      <c r="N70" s="48"/>
    </row>
    <row r="71" spans="2:16" ht="24">
      <c r="B71" s="49">
        <v>11</v>
      </c>
      <c r="C71" s="49">
        <v>14</v>
      </c>
      <c r="D71" s="49">
        <v>17</v>
      </c>
      <c r="E71" s="49">
        <v>19</v>
      </c>
      <c r="F71" s="58">
        <v>19</v>
      </c>
      <c r="G71" s="49">
        <v>19</v>
      </c>
      <c r="H71" s="55" t="s">
        <v>179</v>
      </c>
      <c r="I71" s="46" t="s">
        <v>180</v>
      </c>
      <c r="J71" s="49" t="s">
        <v>86</v>
      </c>
      <c r="K71" s="49" t="s">
        <v>181</v>
      </c>
      <c r="L71" s="46" t="s">
        <v>88</v>
      </c>
      <c r="M71" s="12" t="s">
        <v>182</v>
      </c>
      <c r="N71" s="46" t="s">
        <v>88</v>
      </c>
    </row>
    <row r="72" spans="2:16" ht="24">
      <c r="B72" s="50"/>
      <c r="C72" s="50"/>
      <c r="D72" s="50"/>
      <c r="E72" s="50"/>
      <c r="F72" s="59"/>
      <c r="G72" s="50"/>
      <c r="H72" s="56"/>
      <c r="I72" s="47"/>
      <c r="J72" s="50"/>
      <c r="K72" s="50"/>
      <c r="L72" s="47"/>
      <c r="M72" s="14" t="s">
        <v>158</v>
      </c>
      <c r="N72" s="47"/>
    </row>
    <row r="73" spans="2:16" ht="24">
      <c r="B73" s="50"/>
      <c r="C73" s="50"/>
      <c r="D73" s="50"/>
      <c r="E73" s="50"/>
      <c r="F73" s="59"/>
      <c r="G73" s="50"/>
      <c r="H73" s="56"/>
      <c r="I73" s="47"/>
      <c r="J73" s="50"/>
      <c r="K73" s="50"/>
      <c r="L73" s="47"/>
      <c r="M73" s="38" t="s">
        <v>125</v>
      </c>
      <c r="N73" s="47"/>
    </row>
    <row r="74" spans="2:16" ht="48.75" thickBot="1">
      <c r="B74" s="51"/>
      <c r="C74" s="51"/>
      <c r="D74" s="51"/>
      <c r="E74" s="51"/>
      <c r="F74" s="60"/>
      <c r="G74" s="51"/>
      <c r="H74" s="57"/>
      <c r="I74" s="48"/>
      <c r="J74" s="51"/>
      <c r="K74" s="51"/>
      <c r="L74" s="48"/>
      <c r="M74" s="19" t="s">
        <v>183</v>
      </c>
      <c r="N74" s="48"/>
    </row>
    <row r="75" spans="2:16" ht="36.75" thickTop="1">
      <c r="B75" s="62">
        <v>12</v>
      </c>
      <c r="C75" s="62">
        <v>15</v>
      </c>
      <c r="D75" s="62">
        <v>18</v>
      </c>
      <c r="E75" s="62">
        <v>20</v>
      </c>
      <c r="F75" s="63">
        <v>20</v>
      </c>
      <c r="G75" s="62">
        <v>20</v>
      </c>
      <c r="H75" s="71" t="s">
        <v>184</v>
      </c>
      <c r="I75" s="61" t="s">
        <v>185</v>
      </c>
      <c r="J75" s="62" t="s">
        <v>86</v>
      </c>
      <c r="K75" s="62" t="s">
        <v>181</v>
      </c>
      <c r="L75" s="72">
        <v>-7</v>
      </c>
      <c r="M75" s="14" t="s">
        <v>186</v>
      </c>
      <c r="N75" s="61" t="s">
        <v>88</v>
      </c>
    </row>
    <row r="76" spans="2:16" ht="24">
      <c r="B76" s="50"/>
      <c r="C76" s="50"/>
      <c r="D76" s="50"/>
      <c r="E76" s="50"/>
      <c r="F76" s="59"/>
      <c r="G76" s="50"/>
      <c r="H76" s="56"/>
      <c r="I76" s="47"/>
      <c r="J76" s="50"/>
      <c r="K76" s="50"/>
      <c r="L76" s="68"/>
      <c r="M76" s="14" t="s">
        <v>187</v>
      </c>
      <c r="N76" s="47"/>
    </row>
    <row r="77" spans="2:16" ht="24">
      <c r="B77" s="50"/>
      <c r="C77" s="50"/>
      <c r="D77" s="50"/>
      <c r="E77" s="50"/>
      <c r="F77" s="59"/>
      <c r="G77" s="50"/>
      <c r="H77" s="56"/>
      <c r="I77" s="47"/>
      <c r="J77" s="50"/>
      <c r="K77" s="50"/>
      <c r="L77" s="68"/>
      <c r="M77" s="38" t="s">
        <v>103</v>
      </c>
      <c r="N77" s="47"/>
    </row>
    <row r="78" spans="2:16">
      <c r="B78" s="50"/>
      <c r="C78" s="50"/>
      <c r="D78" s="50"/>
      <c r="E78" s="50"/>
      <c r="F78" s="59"/>
      <c r="G78" s="50"/>
      <c r="H78" s="56"/>
      <c r="I78" s="47"/>
      <c r="J78" s="50"/>
      <c r="K78" s="50"/>
      <c r="L78" s="68"/>
      <c r="M78" s="14" t="s">
        <v>188</v>
      </c>
      <c r="N78" s="47"/>
    </row>
    <row r="79" spans="2:16" ht="24.75" thickBot="1">
      <c r="B79" s="51"/>
      <c r="C79" s="51"/>
      <c r="D79" s="51"/>
      <c r="E79" s="51"/>
      <c r="F79" s="60"/>
      <c r="G79" s="51"/>
      <c r="H79" s="57"/>
      <c r="I79" s="48"/>
      <c r="J79" s="51"/>
      <c r="K79" s="51"/>
      <c r="L79" s="69"/>
      <c r="M79" s="19" t="s">
        <v>108</v>
      </c>
      <c r="N79" s="48"/>
    </row>
    <row r="80" spans="2:16">
      <c r="B80" s="46" t="s">
        <v>88</v>
      </c>
      <c r="C80" s="46" t="s">
        <v>88</v>
      </c>
      <c r="D80" s="46" t="s">
        <v>88</v>
      </c>
      <c r="E80" s="46" t="s">
        <v>88</v>
      </c>
      <c r="F80" s="58">
        <v>21</v>
      </c>
      <c r="G80" s="49">
        <v>21</v>
      </c>
      <c r="H80" s="46" t="s">
        <v>88</v>
      </c>
      <c r="I80" s="46" t="s">
        <v>189</v>
      </c>
      <c r="J80" s="49" t="s">
        <v>86</v>
      </c>
      <c r="K80" s="49" t="s">
        <v>87</v>
      </c>
      <c r="L80" s="46" t="s">
        <v>88</v>
      </c>
      <c r="M80" s="14" t="s">
        <v>151</v>
      </c>
      <c r="N80" s="46" t="s">
        <v>88</v>
      </c>
    </row>
    <row r="81" spans="2:19" ht="48">
      <c r="B81" s="47"/>
      <c r="C81" s="47"/>
      <c r="D81" s="47"/>
      <c r="E81" s="47"/>
      <c r="F81" s="59"/>
      <c r="G81" s="50"/>
      <c r="H81" s="47"/>
      <c r="I81" s="47"/>
      <c r="J81" s="50"/>
      <c r="K81" s="50"/>
      <c r="L81" s="47"/>
      <c r="M81" s="14" t="s">
        <v>190</v>
      </c>
      <c r="N81" s="47"/>
    </row>
    <row r="82" spans="2:19" ht="24">
      <c r="B82" s="47"/>
      <c r="C82" s="47"/>
      <c r="D82" s="47"/>
      <c r="E82" s="47"/>
      <c r="F82" s="59"/>
      <c r="G82" s="50"/>
      <c r="H82" s="47"/>
      <c r="I82" s="47"/>
      <c r="J82" s="50"/>
      <c r="K82" s="50"/>
      <c r="L82" s="47"/>
      <c r="M82" s="14" t="s">
        <v>159</v>
      </c>
      <c r="N82" s="47"/>
    </row>
    <row r="83" spans="2:19" ht="48.75" thickBot="1">
      <c r="B83" s="48"/>
      <c r="C83" s="48"/>
      <c r="D83" s="48"/>
      <c r="E83" s="48"/>
      <c r="F83" s="60"/>
      <c r="G83" s="51"/>
      <c r="H83" s="48"/>
      <c r="I83" s="48"/>
      <c r="J83" s="51"/>
      <c r="K83" s="51"/>
      <c r="L83" s="48"/>
      <c r="M83" s="19" t="s">
        <v>183</v>
      </c>
      <c r="N83" s="48"/>
    </row>
    <row r="84" spans="2:19">
      <c r="B84" s="46" t="s">
        <v>88</v>
      </c>
      <c r="C84" s="46" t="s">
        <v>88</v>
      </c>
      <c r="D84" s="46" t="s">
        <v>88</v>
      </c>
      <c r="E84" s="46" t="s">
        <v>88</v>
      </c>
      <c r="F84" s="58">
        <v>22</v>
      </c>
      <c r="G84" s="49">
        <v>22</v>
      </c>
      <c r="H84" s="46" t="s">
        <v>88</v>
      </c>
      <c r="I84" s="46" t="s">
        <v>191</v>
      </c>
      <c r="J84" s="49" t="s">
        <v>86</v>
      </c>
      <c r="K84" s="49" t="s">
        <v>87</v>
      </c>
      <c r="L84" s="46" t="s">
        <v>88</v>
      </c>
      <c r="M84" s="14" t="s">
        <v>157</v>
      </c>
      <c r="N84" s="46" t="s">
        <v>88</v>
      </c>
    </row>
    <row r="85" spans="2:19" ht="24">
      <c r="B85" s="47"/>
      <c r="C85" s="47"/>
      <c r="D85" s="47"/>
      <c r="E85" s="47"/>
      <c r="F85" s="59"/>
      <c r="G85" s="50"/>
      <c r="H85" s="47"/>
      <c r="I85" s="47"/>
      <c r="J85" s="50"/>
      <c r="K85" s="50"/>
      <c r="L85" s="47"/>
      <c r="M85" s="14" t="s">
        <v>115</v>
      </c>
      <c r="N85" s="47"/>
    </row>
    <row r="86" spans="2:19" ht="24">
      <c r="B86" s="47"/>
      <c r="C86" s="47"/>
      <c r="D86" s="47"/>
      <c r="E86" s="47"/>
      <c r="F86" s="59"/>
      <c r="G86" s="50"/>
      <c r="H86" s="47"/>
      <c r="I86" s="47"/>
      <c r="J86" s="50"/>
      <c r="K86" s="50"/>
      <c r="L86" s="47"/>
      <c r="M86" s="13" t="s">
        <v>119</v>
      </c>
      <c r="N86" s="47"/>
      <c r="S86" t="s">
        <v>236</v>
      </c>
    </row>
    <row r="87" spans="2:19" ht="24.75" thickBot="1">
      <c r="B87" s="48"/>
      <c r="C87" s="48"/>
      <c r="D87" s="48"/>
      <c r="E87" s="48"/>
      <c r="F87" s="60"/>
      <c r="G87" s="51"/>
      <c r="H87" s="48"/>
      <c r="I87" s="48"/>
      <c r="J87" s="51"/>
      <c r="K87" s="51"/>
      <c r="L87" s="48"/>
      <c r="M87" s="19" t="s">
        <v>127</v>
      </c>
      <c r="N87" s="48"/>
    </row>
    <row r="88" spans="2:19">
      <c r="B88" s="49">
        <v>13</v>
      </c>
      <c r="C88" s="49">
        <v>16</v>
      </c>
      <c r="D88" s="49">
        <v>19</v>
      </c>
      <c r="E88" s="49">
        <v>21</v>
      </c>
      <c r="F88" s="58">
        <v>23</v>
      </c>
      <c r="G88" s="49">
        <v>23</v>
      </c>
      <c r="H88" s="55" t="s">
        <v>192</v>
      </c>
      <c r="I88" s="46" t="s">
        <v>193</v>
      </c>
      <c r="J88" s="49" t="s">
        <v>86</v>
      </c>
      <c r="K88" s="49" t="s">
        <v>181</v>
      </c>
      <c r="L88" s="46" t="s">
        <v>88</v>
      </c>
      <c r="M88" s="38" t="s">
        <v>194</v>
      </c>
      <c r="N88" s="46" t="s">
        <v>88</v>
      </c>
    </row>
    <row r="89" spans="2:19" ht="24">
      <c r="B89" s="50"/>
      <c r="C89" s="50"/>
      <c r="D89" s="50"/>
      <c r="E89" s="50"/>
      <c r="F89" s="59"/>
      <c r="G89" s="50"/>
      <c r="H89" s="56"/>
      <c r="I89" s="47"/>
      <c r="J89" s="50"/>
      <c r="K89" s="50"/>
      <c r="L89" s="47"/>
      <c r="M89" s="14" t="s">
        <v>152</v>
      </c>
      <c r="N89" s="47"/>
    </row>
    <row r="90" spans="2:19">
      <c r="B90" s="50"/>
      <c r="C90" s="50"/>
      <c r="D90" s="50"/>
      <c r="E90" s="50"/>
      <c r="F90" s="59"/>
      <c r="G90" s="50"/>
      <c r="H90" s="56"/>
      <c r="I90" s="47"/>
      <c r="J90" s="50"/>
      <c r="K90" s="50"/>
      <c r="L90" s="47"/>
      <c r="M90" s="14" t="s">
        <v>195</v>
      </c>
      <c r="N90" s="47"/>
    </row>
    <row r="91" spans="2:19">
      <c r="B91" s="50"/>
      <c r="C91" s="50"/>
      <c r="D91" s="50"/>
      <c r="E91" s="50"/>
      <c r="F91" s="59"/>
      <c r="G91" s="50"/>
      <c r="H91" s="56"/>
      <c r="I91" s="47"/>
      <c r="J91" s="50"/>
      <c r="K91" s="50"/>
      <c r="L91" s="47"/>
      <c r="M91" s="14" t="s">
        <v>146</v>
      </c>
      <c r="N91" s="47"/>
    </row>
    <row r="92" spans="2:19" ht="24">
      <c r="B92" s="50"/>
      <c r="C92" s="50"/>
      <c r="D92" s="50"/>
      <c r="E92" s="50"/>
      <c r="F92" s="59"/>
      <c r="G92" s="50"/>
      <c r="H92" s="56"/>
      <c r="I92" s="47"/>
      <c r="J92" s="50"/>
      <c r="K92" s="50"/>
      <c r="L92" s="47"/>
      <c r="M92" s="37" t="s">
        <v>107</v>
      </c>
      <c r="N92" s="47"/>
    </row>
    <row r="93" spans="2:19" ht="24.75" thickBot="1">
      <c r="B93" s="51"/>
      <c r="C93" s="51"/>
      <c r="D93" s="51"/>
      <c r="E93" s="51"/>
      <c r="F93" s="60"/>
      <c r="G93" s="51"/>
      <c r="H93" s="57"/>
      <c r="I93" s="48"/>
      <c r="J93" s="51"/>
      <c r="K93" s="51"/>
      <c r="L93" s="48"/>
      <c r="M93" s="19" t="s">
        <v>108</v>
      </c>
      <c r="N93" s="48"/>
    </row>
    <row r="94" spans="2:19">
      <c r="B94" s="49">
        <v>14</v>
      </c>
      <c r="C94" s="49">
        <v>17</v>
      </c>
      <c r="D94" s="49">
        <v>20</v>
      </c>
      <c r="E94" s="49">
        <v>22</v>
      </c>
      <c r="F94" s="58">
        <v>24</v>
      </c>
      <c r="G94" s="49">
        <v>24</v>
      </c>
      <c r="H94" s="55" t="s">
        <v>196</v>
      </c>
      <c r="I94" s="46" t="s">
        <v>197</v>
      </c>
      <c r="J94" s="49" t="s">
        <v>86</v>
      </c>
      <c r="K94" s="49" t="s">
        <v>87</v>
      </c>
      <c r="L94" s="67">
        <v>-7</v>
      </c>
      <c r="M94" s="38" t="s">
        <v>198</v>
      </c>
      <c r="N94" s="46" t="s">
        <v>88</v>
      </c>
    </row>
    <row r="95" spans="2:19" ht="24">
      <c r="B95" s="50"/>
      <c r="C95" s="50"/>
      <c r="D95" s="50"/>
      <c r="E95" s="50"/>
      <c r="F95" s="59"/>
      <c r="G95" s="50"/>
      <c r="H95" s="56"/>
      <c r="I95" s="47"/>
      <c r="J95" s="50"/>
      <c r="K95" s="50"/>
      <c r="L95" s="68"/>
      <c r="M95" s="23" t="s">
        <v>158</v>
      </c>
      <c r="N95" s="47"/>
    </row>
    <row r="96" spans="2:19" ht="24">
      <c r="B96" s="50"/>
      <c r="C96" s="50"/>
      <c r="D96" s="50"/>
      <c r="E96" s="50"/>
      <c r="F96" s="59"/>
      <c r="G96" s="50"/>
      <c r="H96" s="56"/>
      <c r="I96" s="47"/>
      <c r="J96" s="50"/>
      <c r="K96" s="50"/>
      <c r="L96" s="68"/>
      <c r="M96" s="14" t="s">
        <v>118</v>
      </c>
      <c r="N96" s="47"/>
    </row>
    <row r="97" spans="2:16" ht="24">
      <c r="B97" s="50"/>
      <c r="C97" s="50"/>
      <c r="D97" s="50"/>
      <c r="E97" s="50"/>
      <c r="F97" s="59"/>
      <c r="G97" s="50"/>
      <c r="H97" s="56"/>
      <c r="I97" s="47"/>
      <c r="J97" s="50"/>
      <c r="K97" s="50"/>
      <c r="L97" s="68"/>
      <c r="M97" s="36" t="s">
        <v>125</v>
      </c>
      <c r="N97" s="47"/>
    </row>
    <row r="98" spans="2:16">
      <c r="B98" s="50"/>
      <c r="C98" s="50"/>
      <c r="D98" s="50"/>
      <c r="E98" s="50"/>
      <c r="F98" s="59"/>
      <c r="G98" s="50"/>
      <c r="H98" s="56"/>
      <c r="I98" s="47"/>
      <c r="J98" s="50"/>
      <c r="K98" s="50"/>
      <c r="L98" s="68"/>
      <c r="M98" s="14" t="s">
        <v>151</v>
      </c>
      <c r="N98" s="47"/>
    </row>
    <row r="99" spans="2:16" ht="24">
      <c r="B99" s="50"/>
      <c r="C99" s="50"/>
      <c r="D99" s="50"/>
      <c r="E99" s="50"/>
      <c r="F99" s="59"/>
      <c r="G99" s="50"/>
      <c r="H99" s="56"/>
      <c r="I99" s="47"/>
      <c r="J99" s="50"/>
      <c r="K99" s="50"/>
      <c r="L99" s="68"/>
      <c r="M99" s="29" t="s">
        <v>126</v>
      </c>
      <c r="N99" s="47"/>
    </row>
    <row r="100" spans="2:16" ht="24.75" thickBot="1">
      <c r="B100" s="51"/>
      <c r="C100" s="51"/>
      <c r="D100" s="51"/>
      <c r="E100" s="51"/>
      <c r="F100" s="60"/>
      <c r="G100" s="51"/>
      <c r="H100" s="57"/>
      <c r="I100" s="48"/>
      <c r="J100" s="51"/>
      <c r="K100" s="51"/>
      <c r="L100" s="69"/>
      <c r="M100" s="21" t="s">
        <v>127</v>
      </c>
      <c r="N100" s="48"/>
    </row>
    <row r="101" spans="2:16">
      <c r="B101" s="46" t="s">
        <v>88</v>
      </c>
      <c r="C101" s="46" t="s">
        <v>88</v>
      </c>
      <c r="D101" s="46" t="s">
        <v>88</v>
      </c>
      <c r="E101" s="49">
        <v>23</v>
      </c>
      <c r="F101" s="58">
        <v>25</v>
      </c>
      <c r="G101" s="49">
        <v>25</v>
      </c>
      <c r="H101" s="46" t="s">
        <v>88</v>
      </c>
      <c r="I101" s="46" t="s">
        <v>199</v>
      </c>
      <c r="J101" s="49" t="s">
        <v>86</v>
      </c>
      <c r="K101" s="49" t="s">
        <v>87</v>
      </c>
      <c r="L101" s="46" t="s">
        <v>88</v>
      </c>
      <c r="M101" s="14" t="s">
        <v>139</v>
      </c>
      <c r="N101" s="46" t="s">
        <v>88</v>
      </c>
    </row>
    <row r="102" spans="2:16">
      <c r="B102" s="47"/>
      <c r="C102" s="47"/>
      <c r="D102" s="47"/>
      <c r="E102" s="50"/>
      <c r="F102" s="59"/>
      <c r="G102" s="50"/>
      <c r="H102" s="47"/>
      <c r="I102" s="47"/>
      <c r="J102" s="50"/>
      <c r="K102" s="50"/>
      <c r="L102" s="47"/>
      <c r="M102" s="14" t="s">
        <v>142</v>
      </c>
      <c r="N102" s="47"/>
    </row>
    <row r="103" spans="2:16" ht="24">
      <c r="B103" s="47"/>
      <c r="C103" s="47"/>
      <c r="D103" s="47"/>
      <c r="E103" s="50"/>
      <c r="F103" s="59"/>
      <c r="G103" s="50"/>
      <c r="H103" s="47"/>
      <c r="I103" s="47"/>
      <c r="J103" s="50"/>
      <c r="K103" s="50"/>
      <c r="L103" s="47"/>
      <c r="M103" s="14" t="s">
        <v>115</v>
      </c>
      <c r="N103" s="47"/>
    </row>
    <row r="104" spans="2:16" ht="24">
      <c r="B104" s="47"/>
      <c r="C104" s="47"/>
      <c r="D104" s="47"/>
      <c r="E104" s="50"/>
      <c r="F104" s="59"/>
      <c r="G104" s="50"/>
      <c r="H104" s="47"/>
      <c r="I104" s="47"/>
      <c r="J104" s="50"/>
      <c r="K104" s="50"/>
      <c r="L104" s="47"/>
      <c r="M104" s="29" t="s">
        <v>103</v>
      </c>
      <c r="N104" s="47"/>
    </row>
    <row r="105" spans="2:16" ht="15" thickBot="1">
      <c r="B105" s="48"/>
      <c r="C105" s="48"/>
      <c r="D105" s="48"/>
      <c r="E105" s="51"/>
      <c r="F105" s="60"/>
      <c r="G105" s="51"/>
      <c r="H105" s="48"/>
      <c r="I105" s="48"/>
      <c r="J105" s="51"/>
      <c r="K105" s="51"/>
      <c r="L105" s="48"/>
      <c r="M105" s="19" t="s">
        <v>147</v>
      </c>
      <c r="N105" s="48"/>
    </row>
    <row r="106" spans="2:16">
      <c r="B106" s="46" t="s">
        <v>88</v>
      </c>
      <c r="C106" s="46" t="s">
        <v>88</v>
      </c>
      <c r="D106" s="46" t="s">
        <v>88</v>
      </c>
      <c r="E106" s="49">
        <v>24</v>
      </c>
      <c r="F106" s="58">
        <v>26</v>
      </c>
      <c r="G106" s="49">
        <v>26</v>
      </c>
      <c r="H106" s="55" t="s">
        <v>200</v>
      </c>
      <c r="I106" s="70" t="s">
        <v>201</v>
      </c>
      <c r="J106" s="49" t="s">
        <v>86</v>
      </c>
      <c r="K106" s="49" t="s">
        <v>87</v>
      </c>
      <c r="L106" s="46" t="s">
        <v>88</v>
      </c>
      <c r="M106" s="14" t="s">
        <v>146</v>
      </c>
      <c r="N106" s="46" t="s">
        <v>203</v>
      </c>
      <c r="P106" t="s">
        <v>267</v>
      </c>
    </row>
    <row r="107" spans="2:16">
      <c r="B107" s="47"/>
      <c r="C107" s="47"/>
      <c r="D107" s="47"/>
      <c r="E107" s="50"/>
      <c r="F107" s="59"/>
      <c r="G107" s="50"/>
      <c r="H107" s="56"/>
      <c r="I107" s="65"/>
      <c r="J107" s="50"/>
      <c r="K107" s="50"/>
      <c r="L107" s="47"/>
      <c r="M107" s="14" t="s">
        <v>117</v>
      </c>
      <c r="N107" s="47"/>
    </row>
    <row r="108" spans="2:16" ht="15" thickBot="1">
      <c r="B108" s="48"/>
      <c r="C108" s="48"/>
      <c r="D108" s="48"/>
      <c r="E108" s="51"/>
      <c r="F108" s="60"/>
      <c r="G108" s="51"/>
      <c r="H108" s="57"/>
      <c r="I108" s="66"/>
      <c r="J108" s="51"/>
      <c r="K108" s="51"/>
      <c r="L108" s="48"/>
      <c r="M108" s="19" t="s">
        <v>202</v>
      </c>
      <c r="N108" s="48"/>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268</v>
      </c>
    </row>
    <row r="110" spans="2:16" ht="15" thickTop="1">
      <c r="B110" s="61" t="s">
        <v>88</v>
      </c>
      <c r="C110" s="61" t="s">
        <v>88</v>
      </c>
      <c r="D110" s="61" t="s">
        <v>88</v>
      </c>
      <c r="E110" s="62">
        <v>26</v>
      </c>
      <c r="F110" s="63">
        <v>28</v>
      </c>
      <c r="G110" s="62">
        <v>28</v>
      </c>
      <c r="H110" s="61" t="s">
        <v>88</v>
      </c>
      <c r="I110" s="64" t="s">
        <v>207</v>
      </c>
      <c r="J110" s="62" t="s">
        <v>86</v>
      </c>
      <c r="K110" s="62" t="s">
        <v>87</v>
      </c>
      <c r="L110" s="61" t="s">
        <v>88</v>
      </c>
      <c r="M110" s="14" t="s">
        <v>157</v>
      </c>
      <c r="N110" s="61" t="s">
        <v>206</v>
      </c>
      <c r="P110" t="s">
        <v>269</v>
      </c>
    </row>
    <row r="111" spans="2:16" ht="24">
      <c r="B111" s="47"/>
      <c r="C111" s="47"/>
      <c r="D111" s="47"/>
      <c r="E111" s="50"/>
      <c r="F111" s="59"/>
      <c r="G111" s="50"/>
      <c r="H111" s="47"/>
      <c r="I111" s="65"/>
      <c r="J111" s="50"/>
      <c r="K111" s="50"/>
      <c r="L111" s="47"/>
      <c r="M111" s="14" t="s">
        <v>104</v>
      </c>
      <c r="N111" s="47"/>
    </row>
    <row r="112" spans="2:16" ht="24">
      <c r="B112" s="47"/>
      <c r="C112" s="47"/>
      <c r="D112" s="47"/>
      <c r="E112" s="50"/>
      <c r="F112" s="59"/>
      <c r="G112" s="50"/>
      <c r="H112" s="47"/>
      <c r="I112" s="65"/>
      <c r="J112" s="50"/>
      <c r="K112" s="50"/>
      <c r="L112" s="47"/>
      <c r="M112" s="14" t="s">
        <v>118</v>
      </c>
      <c r="N112" s="47"/>
    </row>
    <row r="113" spans="2:14" ht="15" thickBot="1">
      <c r="B113" s="48"/>
      <c r="C113" s="48"/>
      <c r="D113" s="48"/>
      <c r="E113" s="51"/>
      <c r="F113" s="60"/>
      <c r="G113" s="51"/>
      <c r="H113" s="48"/>
      <c r="I113" s="66"/>
      <c r="J113" s="51"/>
      <c r="K113" s="51"/>
      <c r="L113" s="48"/>
      <c r="M113" s="19" t="s">
        <v>208</v>
      </c>
      <c r="N113" s="48"/>
    </row>
    <row r="114" spans="2:14" ht="36">
      <c r="B114" s="46" t="s">
        <v>88</v>
      </c>
      <c r="C114" s="49">
        <v>18</v>
      </c>
      <c r="D114" s="46" t="s">
        <v>88</v>
      </c>
      <c r="E114" s="49">
        <v>27</v>
      </c>
      <c r="F114" s="58">
        <v>29</v>
      </c>
      <c r="G114" s="49">
        <v>29</v>
      </c>
      <c r="H114" s="55" t="s">
        <v>209</v>
      </c>
      <c r="I114" s="46" t="s">
        <v>210</v>
      </c>
      <c r="J114" s="49" t="s">
        <v>86</v>
      </c>
      <c r="K114" s="49" t="s">
        <v>181</v>
      </c>
      <c r="L114" s="46" t="s">
        <v>88</v>
      </c>
      <c r="M114" s="29" t="s">
        <v>211</v>
      </c>
      <c r="N114" s="46" t="s">
        <v>206</v>
      </c>
    </row>
    <row r="115" spans="2:14" ht="24">
      <c r="B115" s="47"/>
      <c r="C115" s="50"/>
      <c r="D115" s="47"/>
      <c r="E115" s="50"/>
      <c r="F115" s="59"/>
      <c r="G115" s="50"/>
      <c r="H115" s="56"/>
      <c r="I115" s="47"/>
      <c r="J115" s="50"/>
      <c r="K115" s="50"/>
      <c r="L115" s="47"/>
      <c r="M115" s="14" t="s">
        <v>152</v>
      </c>
      <c r="N115" s="47"/>
    </row>
    <row r="116" spans="2:14">
      <c r="B116" s="47"/>
      <c r="C116" s="50"/>
      <c r="D116" s="47"/>
      <c r="E116" s="50"/>
      <c r="F116" s="59"/>
      <c r="G116" s="50"/>
      <c r="H116" s="56"/>
      <c r="I116" s="47"/>
      <c r="J116" s="50"/>
      <c r="K116" s="50"/>
      <c r="L116" s="47"/>
      <c r="M116" s="14" t="s">
        <v>188</v>
      </c>
      <c r="N116" s="47"/>
    </row>
    <row r="117" spans="2:14" ht="24.75" thickBot="1">
      <c r="B117" s="48"/>
      <c r="C117" s="51"/>
      <c r="D117" s="48"/>
      <c r="E117" s="51"/>
      <c r="F117" s="60"/>
      <c r="G117" s="51"/>
      <c r="H117" s="57"/>
      <c r="I117" s="48"/>
      <c r="J117" s="51"/>
      <c r="K117" s="51"/>
      <c r="L117" s="48"/>
      <c r="M117" s="34" t="s">
        <v>121</v>
      </c>
      <c r="N117" s="48"/>
    </row>
    <row r="118" spans="2:14" ht="36">
      <c r="B118" s="46" t="s">
        <v>88</v>
      </c>
      <c r="C118" s="49">
        <v>19</v>
      </c>
      <c r="D118" s="46" t="s">
        <v>88</v>
      </c>
      <c r="E118" s="49">
        <v>28</v>
      </c>
      <c r="F118" s="58">
        <v>30</v>
      </c>
      <c r="G118" s="49">
        <v>30</v>
      </c>
      <c r="H118" s="55" t="s">
        <v>212</v>
      </c>
      <c r="I118" s="46" t="s">
        <v>213</v>
      </c>
      <c r="J118" s="49" t="s">
        <v>86</v>
      </c>
      <c r="K118" s="49" t="s">
        <v>181</v>
      </c>
      <c r="L118" s="46" t="s">
        <v>88</v>
      </c>
      <c r="M118" s="29" t="s">
        <v>214</v>
      </c>
      <c r="N118" s="46" t="s">
        <v>216</v>
      </c>
    </row>
    <row r="119" spans="2:14" ht="36">
      <c r="B119" s="47"/>
      <c r="C119" s="50"/>
      <c r="D119" s="47"/>
      <c r="E119" s="50"/>
      <c r="F119" s="59"/>
      <c r="G119" s="50"/>
      <c r="H119" s="56"/>
      <c r="I119" s="47"/>
      <c r="J119" s="50"/>
      <c r="K119" s="50"/>
      <c r="L119" s="47"/>
      <c r="M119" s="14" t="s">
        <v>215</v>
      </c>
      <c r="N119" s="47"/>
    </row>
    <row r="120" spans="2:14" ht="24.75" thickBot="1">
      <c r="B120" s="48"/>
      <c r="C120" s="51"/>
      <c r="D120" s="48"/>
      <c r="E120" s="51"/>
      <c r="F120" s="60"/>
      <c r="G120" s="51"/>
      <c r="H120" s="57"/>
      <c r="I120" s="48"/>
      <c r="J120" s="51"/>
      <c r="K120" s="51"/>
      <c r="L120" s="48"/>
      <c r="M120" s="34" t="s">
        <v>136</v>
      </c>
      <c r="N120" s="48"/>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46" t="s">
        <v>88</v>
      </c>
      <c r="C122" s="46" t="s">
        <v>88</v>
      </c>
      <c r="D122" s="46" t="s">
        <v>88</v>
      </c>
      <c r="E122" s="46" t="s">
        <v>88</v>
      </c>
      <c r="F122" s="52" t="s">
        <v>88</v>
      </c>
      <c r="G122" s="49">
        <v>32</v>
      </c>
      <c r="H122" s="46" t="s">
        <v>88</v>
      </c>
      <c r="I122" s="46" t="s">
        <v>222</v>
      </c>
      <c r="J122" s="49" t="s">
        <v>86</v>
      </c>
      <c r="K122" s="49" t="s">
        <v>181</v>
      </c>
      <c r="L122" s="46" t="s">
        <v>88</v>
      </c>
      <c r="M122" s="14" t="s">
        <v>125</v>
      </c>
      <c r="N122" s="46" t="s">
        <v>88</v>
      </c>
    </row>
    <row r="123" spans="2:14" ht="24">
      <c r="B123" s="47"/>
      <c r="C123" s="47"/>
      <c r="D123" s="47"/>
      <c r="E123" s="47"/>
      <c r="F123" s="53"/>
      <c r="G123" s="50"/>
      <c r="H123" s="47"/>
      <c r="I123" s="47"/>
      <c r="J123" s="50"/>
      <c r="K123" s="50"/>
      <c r="L123" s="47"/>
      <c r="M123" s="14" t="s">
        <v>115</v>
      </c>
      <c r="N123" s="47"/>
    </row>
    <row r="124" spans="2:14">
      <c r="B124" s="47"/>
      <c r="C124" s="47"/>
      <c r="D124" s="47"/>
      <c r="E124" s="47"/>
      <c r="F124" s="53"/>
      <c r="G124" s="50"/>
      <c r="H124" s="47"/>
      <c r="I124" s="47"/>
      <c r="J124" s="50"/>
      <c r="K124" s="50"/>
      <c r="L124" s="47"/>
      <c r="M124" s="14" t="s">
        <v>223</v>
      </c>
      <c r="N124" s="47"/>
    </row>
    <row r="125" spans="2:14" ht="15" thickBot="1">
      <c r="B125" s="48"/>
      <c r="C125" s="48"/>
      <c r="D125" s="48"/>
      <c r="E125" s="48"/>
      <c r="F125" s="54"/>
      <c r="G125" s="51"/>
      <c r="H125" s="48"/>
      <c r="I125" s="48"/>
      <c r="J125" s="51"/>
      <c r="K125" s="51"/>
      <c r="L125" s="48"/>
      <c r="M125" s="19" t="s">
        <v>224</v>
      </c>
      <c r="N125" s="48"/>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 ref="C7:C8"/>
    <mergeCell ref="D7:D8"/>
    <mergeCell ref="E7:E8"/>
    <mergeCell ref="F7:F8"/>
    <mergeCell ref="G7:G8"/>
    <mergeCell ref="H7:H8"/>
    <mergeCell ref="J7:J8"/>
    <mergeCell ref="K7:K8"/>
    <mergeCell ref="B3:H3"/>
    <mergeCell ref="J3:J4"/>
    <mergeCell ref="K3:K4"/>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J39:J42"/>
    <mergeCell ref="K32:K38"/>
    <mergeCell ref="L32:L38"/>
    <mergeCell ref="B32:B38"/>
    <mergeCell ref="C32:C38"/>
    <mergeCell ref="D32:D38"/>
    <mergeCell ref="E32:E38"/>
    <mergeCell ref="F32:F38"/>
    <mergeCell ref="G32:G38"/>
    <mergeCell ref="H32:H38"/>
    <mergeCell ref="I32:I38"/>
    <mergeCell ref="J32:J38"/>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H48:H53"/>
    <mergeCell ref="I48:I53"/>
    <mergeCell ref="J48:J53"/>
    <mergeCell ref="K48:K53"/>
    <mergeCell ref="L48:L53"/>
    <mergeCell ref="J43:J47"/>
    <mergeCell ref="K43:K47"/>
    <mergeCell ref="L43:L47"/>
    <mergeCell ref="N43:N47"/>
    <mergeCell ref="N48:N49"/>
    <mergeCell ref="B59:B63"/>
    <mergeCell ref="C59:C63"/>
    <mergeCell ref="D59:D63"/>
    <mergeCell ref="E59:E63"/>
    <mergeCell ref="F59:F63"/>
    <mergeCell ref="B54:B58"/>
    <mergeCell ref="C54:C58"/>
    <mergeCell ref="D54:D58"/>
    <mergeCell ref="E54:E58"/>
    <mergeCell ref="F54:F58"/>
    <mergeCell ref="G59:G63"/>
    <mergeCell ref="H59:H63"/>
    <mergeCell ref="I59:I63"/>
    <mergeCell ref="J59:J63"/>
    <mergeCell ref="K59:K63"/>
    <mergeCell ref="L59:L63"/>
    <mergeCell ref="H54:H58"/>
    <mergeCell ref="I54:I58"/>
    <mergeCell ref="J54:J58"/>
    <mergeCell ref="K54:K58"/>
    <mergeCell ref="L54:L58"/>
    <mergeCell ref="G54:G58"/>
    <mergeCell ref="H67:H70"/>
    <mergeCell ref="I67:I70"/>
    <mergeCell ref="J67:J70"/>
    <mergeCell ref="K67:K70"/>
    <mergeCell ref="L67:L70"/>
    <mergeCell ref="N67:N70"/>
    <mergeCell ref="B67:B70"/>
    <mergeCell ref="C67:C70"/>
    <mergeCell ref="D67:D70"/>
    <mergeCell ref="E67:E70"/>
    <mergeCell ref="F67:F70"/>
    <mergeCell ref="G67:G70"/>
    <mergeCell ref="H71:H74"/>
    <mergeCell ref="I71:I74"/>
    <mergeCell ref="J71:J74"/>
    <mergeCell ref="K71:K74"/>
    <mergeCell ref="L71:L74"/>
    <mergeCell ref="N71:N74"/>
    <mergeCell ref="B71:B74"/>
    <mergeCell ref="C71:C74"/>
    <mergeCell ref="D71:D74"/>
    <mergeCell ref="E71:E74"/>
    <mergeCell ref="F71:F74"/>
    <mergeCell ref="G71:G74"/>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B94:B100"/>
    <mergeCell ref="C94:C100"/>
    <mergeCell ref="D94:D100"/>
    <mergeCell ref="E94:E100"/>
    <mergeCell ref="F94:F100"/>
    <mergeCell ref="G94:G100"/>
    <mergeCell ref="H94:H100"/>
    <mergeCell ref="I94:I100"/>
    <mergeCell ref="J94:J100"/>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K101:K105"/>
    <mergeCell ref="L101:L105"/>
    <mergeCell ref="N101:N105"/>
    <mergeCell ref="H110:H113"/>
    <mergeCell ref="I110:I113"/>
    <mergeCell ref="J110:J113"/>
    <mergeCell ref="K110:K113"/>
    <mergeCell ref="L110:L113"/>
    <mergeCell ref="N110:N113"/>
    <mergeCell ref="B110:B113"/>
    <mergeCell ref="C110:C113"/>
    <mergeCell ref="D110:D113"/>
    <mergeCell ref="E110:E113"/>
    <mergeCell ref="F110:F113"/>
    <mergeCell ref="G110:G113"/>
    <mergeCell ref="H114:H117"/>
    <mergeCell ref="I114:I117"/>
    <mergeCell ref="J114:J117"/>
    <mergeCell ref="K114:K117"/>
    <mergeCell ref="L114:L117"/>
    <mergeCell ref="N114:N117"/>
    <mergeCell ref="B114:B117"/>
    <mergeCell ref="C114:C117"/>
    <mergeCell ref="D114:D117"/>
    <mergeCell ref="E114:E117"/>
    <mergeCell ref="F114:F117"/>
    <mergeCell ref="G114:G117"/>
    <mergeCell ref="H118:H120"/>
    <mergeCell ref="I118:I120"/>
    <mergeCell ref="J118:J120"/>
    <mergeCell ref="K118:K120"/>
    <mergeCell ref="L118:L120"/>
    <mergeCell ref="N118:N120"/>
    <mergeCell ref="B118:B120"/>
    <mergeCell ref="C118:C120"/>
    <mergeCell ref="D118:D120"/>
    <mergeCell ref="E118:E120"/>
    <mergeCell ref="F118:F120"/>
    <mergeCell ref="G118:G120"/>
    <mergeCell ref="H122:H125"/>
    <mergeCell ref="I122:I125"/>
    <mergeCell ref="J122:J125"/>
    <mergeCell ref="K122:K125"/>
    <mergeCell ref="L122:L125"/>
    <mergeCell ref="N122:N125"/>
    <mergeCell ref="B122:B125"/>
    <mergeCell ref="C122:C125"/>
    <mergeCell ref="D122:D125"/>
    <mergeCell ref="E122:E125"/>
    <mergeCell ref="F122:F125"/>
    <mergeCell ref="G122:G12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248</v>
      </c>
      <c r="B1" s="5" t="s">
        <v>249</v>
      </c>
      <c r="C1" s="5" t="s">
        <v>250</v>
      </c>
      <c r="D1" s="5" t="s">
        <v>251</v>
      </c>
      <c r="E1" s="5" t="s">
        <v>252</v>
      </c>
      <c r="F1" s="5" t="s">
        <v>253</v>
      </c>
      <c r="G1" s="5" t="s">
        <v>254</v>
      </c>
      <c r="H1" s="5" t="s">
        <v>256</v>
      </c>
      <c r="I1" s="5" t="s">
        <v>255</v>
      </c>
    </row>
    <row r="3" spans="1:9">
      <c r="A3" s="42" t="s">
        <v>274</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Requirements</vt:lpstr>
      <vt:lpstr>SW Functions</vt:lpstr>
      <vt:lpstr>FMEA</vt:lpstr>
      <vt:lpstr>Power State Diagram</vt:lpstr>
      <vt:lpstr>TO DO</vt:lpstr>
      <vt:lpstr>Bits to purchase</vt:lpstr>
      <vt:lpstr>Problems</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2025-11-08T19:27:00Z</dcterms:modified>
</cp:coreProperties>
</file>