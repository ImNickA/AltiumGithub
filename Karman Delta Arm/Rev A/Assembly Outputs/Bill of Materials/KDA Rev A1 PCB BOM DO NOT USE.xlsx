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C:\Users\adria\Documents\GitHub\AltiumGithub\Karman Delta Arm\Assembly Outputs\Bill of Materials\"/>
    </mc:Choice>
  </mc:AlternateContent>
  <xr:revisionPtr revIDLastSave="0" documentId="8_{92068939-1848-49C2-9AE7-214E3DE62F7D}" xr6:coauthVersionLast="47" xr6:coauthVersionMax="47" xr10:uidLastSave="{00000000-0000-0000-0000-000000000000}"/>
  <bookViews>
    <workbookView xWindow="0" yWindow="180" windowWidth="28905" windowHeight="16320" activeTab="1" xr2:uid="{00000000-000D-0000-FFFF-FFFF00000000}"/>
  </bookViews>
  <sheets>
    <sheet name="PCB BOM" sheetId="1" r:id="rId1"/>
    <sheet name="Sheet1" sheetId="4" r:id="rId2"/>
    <sheet name="Parameters" sheetId="3" r:id="rId3"/>
  </sheets>
  <definedNames>
    <definedName name="_xlnm._FilterDatabase" localSheetId="0" hidden="1">'PCB BOM'!$A$9:$K$41</definedName>
    <definedName name="_xlnm.Print_Titles" localSheetId="2">Parameters!$7:$7</definedName>
    <definedName name="_xlnm.Print_Titles" localSheetId="0">'PCB BOM'!$9:$9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4" l="1"/>
  <c r="A5" i="4"/>
  <c r="A6" i="4"/>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 i="4"/>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10"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3" i="3"/>
  <c r="C4" i="1" l="1"/>
  <c r="A11" i="1" l="1"/>
  <c r="A10" i="1"/>
  <c r="K29" i="4"/>
  <c r="K31" i="4"/>
  <c r="K28" i="4"/>
  <c r="K19" i="4"/>
  <c r="K6" i="4"/>
  <c r="K22" i="4"/>
  <c r="K18" i="4"/>
  <c r="K9" i="4"/>
  <c r="K13" i="4"/>
  <c r="K20" i="4"/>
  <c r="K7" i="4"/>
  <c r="K25" i="4"/>
  <c r="K21" i="4"/>
  <c r="K4" i="4"/>
  <c r="K12" i="4"/>
  <c r="K27" i="4"/>
  <c r="K30" i="4"/>
  <c r="K16" i="4"/>
  <c r="K2" i="4"/>
  <c r="K15" i="4"/>
  <c r="K24" i="4"/>
  <c r="K26" i="4"/>
  <c r="K17" i="4"/>
  <c r="K5" i="4"/>
  <c r="K14" i="4"/>
  <c r="K3" i="4"/>
  <c r="K10" i="4"/>
  <c r="K11" i="4"/>
  <c r="K33" i="4"/>
  <c r="K32" i="4"/>
  <c r="K8" i="4"/>
  <c r="K23" i="4"/>
</calcChain>
</file>

<file path=xl/sharedStrings.xml><?xml version="1.0" encoding="utf-8"?>
<sst xmlns="http://schemas.openxmlformats.org/spreadsheetml/2006/main" count="482" uniqueCount="174">
  <si>
    <t>Item #</t>
  </si>
  <si>
    <t>Release Date:</t>
  </si>
  <si>
    <t>latest of the two dates</t>
  </si>
  <si>
    <t>Bill of Materials</t>
  </si>
  <si>
    <t>Title</t>
  </si>
  <si>
    <t>Version</t>
  </si>
  <si>
    <t>CAD: Altium Designer</t>
  </si>
  <si>
    <t>Copyright</t>
  </si>
  <si>
    <t>THIS DRAWING REMAINS THE PROPERTY OF SUNRIDE.
COPYRIGHT FOR ALL PURPOSES IS VESTED IN SUNRIDE.
THE REPRODUCTION OF THIS DRAWING IN WHOLE OR IN PART IS PROHIBITED WITHOUT EXPRESS CONSENT IN WRITING. THIS DESIGN IS OFFERED FOR USE ONLY WITH EQUIPMENT MANUFACTURED OR SPECIFICALLY RECOMMENDED BY SUNRIDE. RIGHTS ARE RESERVED TO MAKE A CHARGE FOR THE USE OF THIS DESIGN OR ANY PART THEREOF AND SUCH RIGHT SHALL SUBSIST UNLESS AND UNTIL THE SAME SHALL BE EXPRESSLY WAIVED IN WRITING. ACCEPTANCE OF THIS DRAWING WILL BE CONSTRUED AS AN ACCEPTANCE OF THESE CONDITIONS.</t>
  </si>
  <si>
    <t>KDA Rev A1</t>
  </si>
  <si>
    <t>Karman Delta V.E.C.T.O.R. Board</t>
  </si>
  <si>
    <t>Standard</t>
  </si>
  <si>
    <t>25.8</t>
  </si>
  <si>
    <t>2025</t>
  </si>
  <si>
    <t>Designator</t>
  </si>
  <si>
    <t>A1</t>
  </si>
  <si>
    <t>C1A, C1B, C2A, C2B, C3A, C3B, C5A, C5B, C7A, C7B, C8A, C8B, C9A, C9B, C10A, C10B, C11A, C11B, C12A, C12B, C12C, C12D, C13A, C13B, C13C, C13D, C14, C15, C16, C18, C19</t>
  </si>
  <si>
    <t>C4A, C4B</t>
  </si>
  <si>
    <t>C6A, C6B, C17</t>
  </si>
  <si>
    <t>D8A, D8B</t>
  </si>
  <si>
    <t>J1A, J1B, J1C, J1D</t>
  </si>
  <si>
    <t>J2, J6</t>
  </si>
  <si>
    <t>J3A, J3B, J3C, J3D</t>
  </si>
  <si>
    <t>J4A, J4B, J5A, J5B</t>
  </si>
  <si>
    <t>J7A, J7B, J9</t>
  </si>
  <si>
    <t>LED1A, LED1B</t>
  </si>
  <si>
    <t>LED2A, LED2B, LED2C, LED2D</t>
  </si>
  <si>
    <t>Q1A, Q1B, Q1C, Q1D, Q6A, Q6B, Q6C, Q6D</t>
  </si>
  <si>
    <t>Q3A, Q3B, Q3C, Q3D</t>
  </si>
  <si>
    <t>R1A, R1B, R1C, R1D, R4A, R4B, R4C, R4D, R10A, R10B, R12A, R12B, R12C, R12D, R15, R37A, R37B</t>
  </si>
  <si>
    <t>R2A, R2B, R2C, R2D, R11A, R11B, R11C, R11D</t>
  </si>
  <si>
    <t>R3A, R3B, R3C, R3D</t>
  </si>
  <si>
    <t>R5A, R5B, R6A, R6B</t>
  </si>
  <si>
    <t>R7A, R7B</t>
  </si>
  <si>
    <t>R8A, R8B, R9A, R9B</t>
  </si>
  <si>
    <t>R13, R14, R16, R17</t>
  </si>
  <si>
    <t>R22A, R22B, R22C, R22D</t>
  </si>
  <si>
    <t>SW1A, SW1B, SW2A, SW2B</t>
  </si>
  <si>
    <t>TP1A, TP1B, TP2A, TP2B, TP16A, TP16B, TP21, TP22</t>
  </si>
  <si>
    <t>TP14</t>
  </si>
  <si>
    <t>TP15</t>
  </si>
  <si>
    <t>U1A, U1B</t>
  </si>
  <si>
    <t>U2A, U2B</t>
  </si>
  <si>
    <t>U3A, U3B, U5</t>
  </si>
  <si>
    <t>U4</t>
  </si>
  <si>
    <t>U6A, U6B</t>
  </si>
  <si>
    <t>Z3A, Z3B</t>
  </si>
  <si>
    <t>Description</t>
  </si>
  <si>
    <t>PCB (Bare Board)</t>
  </si>
  <si>
    <t>Capacitor MLC 100nF 50V X7R 10% CAPC1608X08M</t>
  </si>
  <si>
    <t>Capacitor MLC 1uF 25V X7R 10% CAPC1608X08M</t>
  </si>
  <si>
    <t>Capacitor MLC 10uF10V X7R 10% CAPC2012X15M</t>
  </si>
  <si>
    <t>Diode Schottky BAT54C SOT-23</t>
  </si>
  <si>
    <t>Connector 2 Way Mini-Fit 5566 Series</t>
  </si>
  <si>
    <t>Connector 6 Way Vertical B06B-PASK-1 (LF) (SN) 2mm Pitch</t>
  </si>
  <si>
    <t>Connector 2 Way Vertical JST B2P-VH(LF)(SN) 3.96mm Pitch</t>
  </si>
  <si>
    <t>Connector 10W FFC/FPC 0.5mm SM ZIF</t>
  </si>
  <si>
    <t>Connector 4 Way Vertical JST B04B-PASK-1 (LF) (SN) 2mm Pitch</t>
  </si>
  <si>
    <t>LED RGB, SMD, 2.4mm, 115 °</t>
  </si>
  <si>
    <t>LED 2.0x1.25mm GREEN 0805 LTST-C170KGKT</t>
  </si>
  <si>
    <t>Power MOSFET, P Channel, 30 V, 15.2 A, 0.0111 ohm, MLPAK33, Surface Mount</t>
  </si>
  <si>
    <t>N-Channel Logic Level Enhancement Mode Field Effect Transistor, 220 mA, 50 V, -55 to 150 degC, 3-Pin SOT-23, RoHS, Tape and Reel</t>
  </si>
  <si>
    <t>SMD Chip Resistor, Thin Film, 10 kohm, 75 V, 0603 [1608 Metric], 100 mW, ± 0.1%, ERA3A Series</t>
  </si>
  <si>
    <t>SMD Chip Resistor, Thin Film, 30 kohm, 75 V, 0603 [1608 Metric], 100 mW, ± 0.1%, ERA3A Series</t>
  </si>
  <si>
    <t>SMD Chip Resistor, Thick Film, 1 kohm, 50 V, 0603 [1608 Metric], 100 mW, ± 1%, RC Series</t>
  </si>
  <si>
    <t>Resistor 20R 1% 50V RESC1608X06M</t>
  </si>
  <si>
    <t>Resistor 120R 1% 50V RESC1608X06M</t>
  </si>
  <si>
    <t>Resistor 4K7 1% 50V RESC1608X06M</t>
  </si>
  <si>
    <t>SMD Chip Resistor, Thick Film, 62 ohm, 75V, 0603 [1608 Metric], 100mW, ± 1%, RC Series</t>
  </si>
  <si>
    <t>Resistor 560R 1% 50V RESC1608X06M</t>
  </si>
  <si>
    <t>Switch SMD SPST-NO Vertical ITT/Cannon KSR231GLFS</t>
  </si>
  <si>
    <t>PCB Test Point S1751 Series, Surface Mount</t>
  </si>
  <si>
    <t>Connector Test Point Red Keystone 5000</t>
  </si>
  <si>
    <t>Connector Test Point Black Keystone 5001</t>
  </si>
  <si>
    <t>IC Supply Voltage Monitor, 2.93V TPS3828-33DBVT SOT23-5</t>
  </si>
  <si>
    <t>IC REG LIN 3.3V 100MA SOT223-3</t>
  </si>
  <si>
    <t>IC TRANSCEIVER FULL 1/1 8SOIC</t>
  </si>
  <si>
    <t>IC Regulator LDO MIC5239-5.0YS SOT-223</t>
  </si>
  <si>
    <t>IC MCU 32BIT 16KB FLASH 32LQFP</t>
  </si>
  <si>
    <t>CABLE FFC/FPC 10POS 0.5MM 4"</t>
  </si>
  <si>
    <t>Quantity</t>
  </si>
  <si>
    <t>Manufacturer Part Number 1</t>
  </si>
  <si>
    <t>VJ0603Y104KXACW1BC</t>
  </si>
  <si>
    <t>CL10B105KA8NFNC</t>
  </si>
  <si>
    <t>C0805C106M9RACTU</t>
  </si>
  <si>
    <t>BAT54C,215</t>
  </si>
  <si>
    <t>39-31-0020</t>
  </si>
  <si>
    <t>B06B-PASK-1(LF)(SN)</t>
  </si>
  <si>
    <t>B2P-VH(LF)(SN)</t>
  </si>
  <si>
    <t>FH12-10S-0.5SH(55)</t>
  </si>
  <si>
    <t>B04B-PASK-1(LF)(SN)</t>
  </si>
  <si>
    <t>ASMB-MTB0-0B3A2</t>
  </si>
  <si>
    <t>LTST-C170KGKT</t>
  </si>
  <si>
    <t>PXP012-30QLJ</t>
  </si>
  <si>
    <t>BSS138</t>
  </si>
  <si>
    <t>ERA-3AEB103V</t>
  </si>
  <si>
    <t>ERA-3AEB303V</t>
  </si>
  <si>
    <t>RC0603FR-071KL</t>
  </si>
  <si>
    <t>RC0603FR-0720RL</t>
  </si>
  <si>
    <t>RC0603FR-07120RL</t>
  </si>
  <si>
    <t>RC0603FR-074K7L</t>
  </si>
  <si>
    <t>RC0603FR-0762RL</t>
  </si>
  <si>
    <t>RC0603FR-07560RL</t>
  </si>
  <si>
    <t>KSR231GLFS</t>
  </si>
  <si>
    <t>S1751-46R</t>
  </si>
  <si>
    <t>5000</t>
  </si>
  <si>
    <t>5001</t>
  </si>
  <si>
    <t>TPS3828-33DBVR</t>
  </si>
  <si>
    <t>MIC5200-3.3YS-TR</t>
  </si>
  <si>
    <t>ISO1042DWV</t>
  </si>
  <si>
    <t>MIC5239-5.0YS</t>
  </si>
  <si>
    <t>STM32L011K4T6</t>
  </si>
  <si>
    <t>151660101</t>
  </si>
  <si>
    <t>Manufacturer 1</t>
  </si>
  <si>
    <t>Vishay</t>
  </si>
  <si>
    <t>Samsung Electro-Mechanics</t>
  </si>
  <si>
    <t>KEMET</t>
  </si>
  <si>
    <t>Nexperia</t>
  </si>
  <si>
    <t>Molex</t>
  </si>
  <si>
    <t>JST</t>
  </si>
  <si>
    <t>HIROSE ELECTRIC</t>
  </si>
  <si>
    <t>Avago</t>
  </si>
  <si>
    <t>Lite-On</t>
  </si>
  <si>
    <t>onsemi</t>
  </si>
  <si>
    <t>Panasonic</t>
  </si>
  <si>
    <t>Yageo Group</t>
  </si>
  <si>
    <t>C&amp;K Components</t>
  </si>
  <si>
    <t>Harwin</t>
  </si>
  <si>
    <t>Keystone</t>
  </si>
  <si>
    <t>Texas Instruments</t>
  </si>
  <si>
    <t>Microchip</t>
  </si>
  <si>
    <t>STMicroelectronics</t>
  </si>
  <si>
    <t>Supplier Part Number 1</t>
  </si>
  <si>
    <t>KDA Rev A</t>
  </si>
  <si>
    <t>2407338</t>
  </si>
  <si>
    <t>3013414</t>
  </si>
  <si>
    <t>2821064</t>
  </si>
  <si>
    <t>1727-2902-1-ND</t>
  </si>
  <si>
    <t>3221778</t>
  </si>
  <si>
    <t>1830743</t>
  </si>
  <si>
    <t>9492003</t>
  </si>
  <si>
    <t>1324540</t>
  </si>
  <si>
    <t>1830738</t>
  </si>
  <si>
    <t>3653562</t>
  </si>
  <si>
    <t>160-1414-1-ND</t>
  </si>
  <si>
    <t>3934789</t>
  </si>
  <si>
    <t>9845330</t>
  </si>
  <si>
    <t>1577619</t>
  </si>
  <si>
    <t>1670196</t>
  </si>
  <si>
    <t>2421849</t>
  </si>
  <si>
    <t>3495766</t>
  </si>
  <si>
    <t>9238379</t>
  </si>
  <si>
    <t>2421876</t>
  </si>
  <si>
    <t>3495893</t>
  </si>
  <si>
    <t>9238450</t>
  </si>
  <si>
    <t>1201422</t>
  </si>
  <si>
    <t>952-1478-1-ND</t>
  </si>
  <si>
    <t>2250281</t>
  </si>
  <si>
    <t>2301278</t>
  </si>
  <si>
    <t>296-32484-1-ND</t>
  </si>
  <si>
    <t>2851609</t>
  </si>
  <si>
    <t>296-53076-ND</t>
  </si>
  <si>
    <t>2510294</t>
  </si>
  <si>
    <t>2770298</t>
  </si>
  <si>
    <t>3726670</t>
  </si>
  <si>
    <t>Supplier 1</t>
  </si>
  <si>
    <t>Farnell</t>
  </si>
  <si>
    <t>DigiKey</t>
  </si>
  <si>
    <t>Fitted</t>
  </si>
  <si>
    <t>Notes</t>
  </si>
  <si>
    <t>-</t>
  </si>
  <si>
    <t>7 Nov 2025</t>
  </si>
  <si>
    <t>Qty</t>
  </si>
  <si>
    <t>Buy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</si>
</sst>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000000"/>
      <name val="Arial"/>
      <family val="2"/>
    </font>
    <font>
      <sz val="10"/>
      <color theme="1"/>
      <name val="Arial"/>
      <family val="2"/>
    </font>
    <font>
      <b/>
      <sz val="10"/>
      <color theme="1"/>
      <name val="Arial"/>
      <family val="2"/>
    </font>
    <font>
      <sz val="10"/>
      <color theme="1"/>
      <name val="Calibri"/>
      <family val="2"/>
      <scheme val="minor"/>
    </font>
    <font>
      <b/>
      <sz val="10"/>
      <name val="Arial"/>
      <family val="2"/>
    </font>
    <font>
      <sz val="6"/>
      <color theme="1"/>
      <name val="Arial"/>
      <family val="2"/>
    </font>
  </fonts>
  <fills count="3">
    <fill>
      <patternFill patternType="none"/>
    </fill>
    <fill>
      <patternFill patternType="gray125"/>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2" fillId="0" borderId="0" xfId="0" applyFont="1"/>
    <xf numFmtId="0" fontId="1" fillId="0" borderId="0" xfId="0" quotePrefix="1" applyFont="1" applyAlignment="1">
      <alignment wrapText="1"/>
    </xf>
    <xf numFmtId="0" fontId="1" fillId="0" borderId="0" xfId="0" quotePrefix="1" applyFont="1"/>
    <xf numFmtId="0" fontId="2" fillId="0" borderId="0" xfId="0" applyFont="1" applyAlignment="1">
      <alignment vertical="center"/>
    </xf>
    <xf numFmtId="0" fontId="1" fillId="0" borderId="2" xfId="0" quotePrefix="1" applyFont="1" applyBorder="1" applyAlignment="1">
      <alignment vertical="top" wrapText="1"/>
    </xf>
    <xf numFmtId="0" fontId="1" fillId="0" borderId="1" xfId="0" quotePrefix="1" applyFont="1" applyBorder="1" applyAlignment="1">
      <alignment vertical="top" wrapText="1"/>
    </xf>
    <xf numFmtId="0" fontId="4" fillId="0" borderId="0" xfId="0" applyFont="1" applyAlignment="1">
      <alignment horizontal="right"/>
    </xf>
    <xf numFmtId="0" fontId="1" fillId="0" borderId="0" xfId="0" applyFont="1" applyAlignment="1">
      <alignment horizontal="right" vertical="top"/>
    </xf>
    <xf numFmtId="0" fontId="5" fillId="0" borderId="0" xfId="0" applyFont="1" applyAlignment="1">
      <alignment horizontal="right" vertical="center"/>
    </xf>
    <xf numFmtId="0" fontId="3" fillId="0" borderId="0" xfId="0" applyFont="1" applyAlignment="1">
      <alignment horizontal="right"/>
    </xf>
    <xf numFmtId="0" fontId="3" fillId="0" borderId="0" xfId="0" applyFont="1" applyAlignment="1">
      <alignment horizontal="left" vertical="top"/>
    </xf>
    <xf numFmtId="49" fontId="2" fillId="0" borderId="0" xfId="0" applyNumberFormat="1" applyFont="1"/>
    <xf numFmtId="49" fontId="2" fillId="0" borderId="0" xfId="0" applyNumberFormat="1" applyFont="1" applyAlignment="1">
      <alignment vertical="center"/>
    </xf>
    <xf numFmtId="49" fontId="1" fillId="0" borderId="0" xfId="0" applyNumberFormat="1" applyFont="1"/>
    <xf numFmtId="49" fontId="3" fillId="2" borderId="1" xfId="0" applyNumberFormat="1" applyFont="1" applyFill="1" applyBorder="1" applyAlignment="1">
      <alignment horizontal="center" vertical="center" wrapText="1"/>
    </xf>
    <xf numFmtId="49" fontId="1" fillId="0" borderId="2" xfId="0" quotePrefix="1" applyNumberFormat="1" applyFont="1" applyBorder="1" applyAlignment="1">
      <alignment vertical="top" wrapText="1"/>
    </xf>
    <xf numFmtId="49" fontId="1" fillId="0" borderId="1" xfId="0" quotePrefix="1" applyNumberFormat="1" applyFont="1" applyBorder="1" applyAlignment="1">
      <alignment vertical="top" wrapText="1"/>
    </xf>
    <xf numFmtId="49" fontId="1" fillId="0" borderId="0" xfId="0" quotePrefix="1" applyNumberFormat="1" applyFont="1"/>
    <xf numFmtId="49" fontId="1" fillId="0" borderId="0" xfId="0" applyNumberFormat="1" applyFont="1" applyAlignment="1">
      <alignment horizontal="right"/>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2" xfId="0" applyFont="1" applyBorder="1" applyAlignment="1">
      <alignment horizontal="center" vertical="top" wrapText="1"/>
    </xf>
    <xf numFmtId="49" fontId="1" fillId="0" borderId="2" xfId="0" applyNumberFormat="1" applyFont="1" applyBorder="1" applyAlignment="1">
      <alignment vertical="top" wrapText="1"/>
    </xf>
    <xf numFmtId="0" fontId="2" fillId="0" borderId="1" xfId="0" applyFont="1" applyBorder="1" applyAlignment="1">
      <alignment wrapText="1"/>
    </xf>
    <xf numFmtId="0" fontId="2" fillId="0" borderId="1" xfId="0" applyFont="1" applyBorder="1" applyAlignment="1">
      <alignment horizontal="center" vertical="top" wrapText="1"/>
    </xf>
    <xf numFmtId="49" fontId="1" fillId="0" borderId="1" xfId="0" applyNumberFormat="1" applyFont="1" applyBorder="1" applyAlignment="1">
      <alignment vertical="top" wrapText="1"/>
    </xf>
    <xf numFmtId="0" fontId="3" fillId="0" borderId="0" xfId="0" quotePrefix="1" applyFont="1"/>
    <xf numFmtId="0" fontId="0" fillId="0" borderId="0" xfId="0" quotePrefix="1"/>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899026</xdr:colOff>
      <xdr:row>1</xdr:row>
      <xdr:rowOff>145612</xdr:rowOff>
    </xdr:from>
    <xdr:to>
      <xdr:col>9</xdr:col>
      <xdr:colOff>1239055</xdr:colOff>
      <xdr:row>5</xdr:row>
      <xdr:rowOff>4182</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2129001" y="307537"/>
          <a:ext cx="1244904" cy="5062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167"/>
  <sheetViews>
    <sheetView showGridLines="0" topLeftCell="A9" zoomScaleNormal="100" workbookViewId="0">
      <selection activeCell="A9" sqref="A9:K41"/>
    </sheetView>
  </sheetViews>
  <sheetFormatPr defaultColWidth="9.140625" defaultRowHeight="12.75" x14ac:dyDescent="0.2"/>
  <cols>
    <col min="1" max="1" width="8.5703125" style="1" bestFit="1" customWidth="1"/>
    <col min="2" max="2" width="28.140625" style="1" customWidth="1"/>
    <col min="3" max="3" width="48" style="1" customWidth="1"/>
    <col min="4" max="4" width="10.140625" style="12" customWidth="1"/>
    <col min="5" max="5" width="16.85546875" style="12" customWidth="1"/>
    <col min="6" max="8" width="15" style="12" customWidth="1"/>
    <col min="9" max="9" width="12.5703125" style="1" customWidth="1"/>
    <col min="10" max="10" width="20.140625" style="1" customWidth="1"/>
    <col min="11" max="11" width="9.140625" style="1" customWidth="1"/>
    <col min="12" max="16384" width="9.140625" style="1"/>
  </cols>
  <sheetData>
    <row r="1" spans="1:11" ht="12.75" customHeight="1" x14ac:dyDescent="0.2">
      <c r="B1" s="9" t="s">
        <v>3</v>
      </c>
      <c r="C1" s="27" t="s">
        <v>9</v>
      </c>
    </row>
    <row r="2" spans="1:11" ht="12.75" customHeight="1" x14ac:dyDescent="0.2">
      <c r="B2" s="10" t="s">
        <v>4</v>
      </c>
      <c r="C2" s="27" t="s">
        <v>10</v>
      </c>
      <c r="D2" s="29" t="s">
        <v>8</v>
      </c>
      <c r="E2" s="30"/>
      <c r="F2" s="30"/>
      <c r="G2" s="30"/>
      <c r="H2" s="30"/>
      <c r="I2" s="7"/>
    </row>
    <row r="3" spans="1:11" ht="12.75" customHeight="1" x14ac:dyDescent="0.2">
      <c r="B3" s="10" t="s">
        <v>5</v>
      </c>
      <c r="C3" s="27" t="s">
        <v>11</v>
      </c>
      <c r="D3" s="30"/>
      <c r="E3" s="30"/>
      <c r="F3" s="30"/>
      <c r="G3" s="30"/>
      <c r="H3" s="30"/>
    </row>
    <row r="4" spans="1:11" ht="12.75" customHeight="1" x14ac:dyDescent="0.2">
      <c r="B4" s="10" t="s">
        <v>1</v>
      </c>
      <c r="C4" s="11" t="str">
        <f>Parameters!A3</f>
        <v>7 Nov 2025</v>
      </c>
      <c r="D4" s="30"/>
      <c r="E4" s="30"/>
      <c r="F4" s="30"/>
      <c r="G4" s="30"/>
      <c r="H4" s="30"/>
      <c r="I4" s="8"/>
    </row>
    <row r="5" spans="1:11" ht="12.75" customHeight="1" x14ac:dyDescent="0.2">
      <c r="B5" s="10" t="s">
        <v>6</v>
      </c>
      <c r="C5" s="27" t="s">
        <v>12</v>
      </c>
      <c r="D5" s="30"/>
      <c r="E5" s="30"/>
      <c r="F5" s="30"/>
      <c r="G5" s="30"/>
      <c r="H5" s="30"/>
      <c r="I5" s="8"/>
    </row>
    <row r="6" spans="1:11" ht="12.75" customHeight="1" x14ac:dyDescent="0.2">
      <c r="B6" s="10" t="s">
        <v>7</v>
      </c>
      <c r="C6" s="27" t="s">
        <v>13</v>
      </c>
      <c r="D6" s="30"/>
      <c r="E6" s="30"/>
      <c r="F6" s="30"/>
      <c r="G6" s="30"/>
      <c r="H6" s="30"/>
      <c r="I6" s="4"/>
    </row>
    <row r="7" spans="1:11" ht="12.75" customHeight="1" x14ac:dyDescent="0.2">
      <c r="B7" s="4"/>
      <c r="C7" s="4"/>
      <c r="D7" s="30"/>
      <c r="E7" s="30"/>
      <c r="F7" s="30"/>
      <c r="G7" s="30"/>
      <c r="H7" s="30"/>
      <c r="I7" s="4"/>
      <c r="K7" s="1" t="s">
        <v>172</v>
      </c>
    </row>
    <row r="8" spans="1:11" ht="12.75" customHeight="1" x14ac:dyDescent="0.2">
      <c r="C8" s="4"/>
      <c r="D8" s="13"/>
      <c r="E8" s="13"/>
      <c r="F8" s="13"/>
      <c r="G8" s="13"/>
      <c r="H8" s="13"/>
      <c r="K8" s="1">
        <v>5</v>
      </c>
    </row>
    <row r="9" spans="1:11" s="21" customFormat="1" ht="25.5" x14ac:dyDescent="0.25">
      <c r="A9" s="20" t="s">
        <v>0</v>
      </c>
      <c r="B9" s="20" t="s">
        <v>14</v>
      </c>
      <c r="C9" s="20" t="s">
        <v>47</v>
      </c>
      <c r="D9" s="15" t="s">
        <v>80</v>
      </c>
      <c r="E9" s="20" t="s">
        <v>81</v>
      </c>
      <c r="F9" s="20" t="s">
        <v>113</v>
      </c>
      <c r="G9" s="20" t="s">
        <v>132</v>
      </c>
      <c r="H9" s="20" t="s">
        <v>165</v>
      </c>
      <c r="I9" s="20" t="s">
        <v>168</v>
      </c>
      <c r="J9" s="20" t="s">
        <v>169</v>
      </c>
      <c r="K9" s="21" t="s">
        <v>173</v>
      </c>
    </row>
    <row r="10" spans="1:11" x14ac:dyDescent="0.2">
      <c r="A10" s="22">
        <f t="shared" ref="A10:A41" si="0">ROW(A10) - ROW($A$9)</f>
        <v>1</v>
      </c>
      <c r="B10" s="5" t="s">
        <v>15</v>
      </c>
      <c r="C10" s="5" t="s">
        <v>48</v>
      </c>
      <c r="D10" s="16">
        <v>1</v>
      </c>
      <c r="E10" s="23"/>
      <c r="F10" s="23"/>
      <c r="G10" s="23" t="s">
        <v>133</v>
      </c>
      <c r="H10" s="16"/>
      <c r="I10" s="6" t="s">
        <v>168</v>
      </c>
      <c r="J10" s="24" t="s">
        <v>170</v>
      </c>
      <c r="K10" s="12">
        <f>D10*$K$8</f>
        <v>5</v>
      </c>
    </row>
    <row r="11" spans="1:11" ht="89.25" x14ac:dyDescent="0.2">
      <c r="A11" s="25">
        <f t="shared" si="0"/>
        <v>2</v>
      </c>
      <c r="B11" s="6" t="s">
        <v>16</v>
      </c>
      <c r="C11" s="6" t="s">
        <v>49</v>
      </c>
      <c r="D11" s="17">
        <v>31</v>
      </c>
      <c r="E11" s="26" t="s">
        <v>82</v>
      </c>
      <c r="F11" s="26" t="s">
        <v>114</v>
      </c>
      <c r="G11" s="26" t="s">
        <v>134</v>
      </c>
      <c r="H11" s="17" t="s">
        <v>166</v>
      </c>
      <c r="I11" s="6" t="s">
        <v>168</v>
      </c>
      <c r="J11" s="24"/>
      <c r="K11" s="12">
        <f t="shared" ref="K11:K41" si="1">D11*$K$8</f>
        <v>155</v>
      </c>
    </row>
    <row r="12" spans="1:11" ht="38.25" x14ac:dyDescent="0.2">
      <c r="A12" s="22">
        <f t="shared" si="0"/>
        <v>3</v>
      </c>
      <c r="B12" s="5" t="s">
        <v>17</v>
      </c>
      <c r="C12" s="5" t="s">
        <v>50</v>
      </c>
      <c r="D12" s="16">
        <v>2</v>
      </c>
      <c r="E12" s="23" t="s">
        <v>83</v>
      </c>
      <c r="F12" s="23" t="s">
        <v>115</v>
      </c>
      <c r="G12" s="23" t="s">
        <v>135</v>
      </c>
      <c r="H12" s="16" t="s">
        <v>166</v>
      </c>
      <c r="I12" s="6" t="s">
        <v>168</v>
      </c>
      <c r="J12" s="24"/>
      <c r="K12" s="12">
        <f t="shared" si="1"/>
        <v>10</v>
      </c>
    </row>
    <row r="13" spans="1:11" ht="25.5" x14ac:dyDescent="0.2">
      <c r="A13" s="25">
        <f t="shared" si="0"/>
        <v>4</v>
      </c>
      <c r="B13" s="6" t="s">
        <v>18</v>
      </c>
      <c r="C13" s="6" t="s">
        <v>51</v>
      </c>
      <c r="D13" s="17">
        <v>3</v>
      </c>
      <c r="E13" s="26" t="s">
        <v>84</v>
      </c>
      <c r="F13" s="26" t="s">
        <v>116</v>
      </c>
      <c r="G13" s="26" t="s">
        <v>136</v>
      </c>
      <c r="H13" s="17" t="s">
        <v>166</v>
      </c>
      <c r="I13" s="6" t="s">
        <v>168</v>
      </c>
      <c r="J13" s="24"/>
      <c r="K13" s="12">
        <f t="shared" si="1"/>
        <v>15</v>
      </c>
    </row>
    <row r="14" spans="1:11" x14ac:dyDescent="0.2">
      <c r="A14" s="22">
        <f t="shared" si="0"/>
        <v>5</v>
      </c>
      <c r="B14" s="5" t="s">
        <v>19</v>
      </c>
      <c r="C14" s="5" t="s">
        <v>52</v>
      </c>
      <c r="D14" s="16">
        <v>2</v>
      </c>
      <c r="E14" s="23" t="s">
        <v>85</v>
      </c>
      <c r="F14" s="23" t="s">
        <v>117</v>
      </c>
      <c r="G14" s="23" t="s">
        <v>137</v>
      </c>
      <c r="H14" s="16" t="s">
        <v>167</v>
      </c>
      <c r="I14" s="6" t="s">
        <v>168</v>
      </c>
      <c r="J14" s="24"/>
      <c r="K14" s="12">
        <f t="shared" si="1"/>
        <v>10</v>
      </c>
    </row>
    <row r="15" spans="1:11" x14ac:dyDescent="0.2">
      <c r="A15" s="25">
        <f t="shared" si="0"/>
        <v>6</v>
      </c>
      <c r="B15" s="6" t="s">
        <v>20</v>
      </c>
      <c r="C15" s="6" t="s">
        <v>53</v>
      </c>
      <c r="D15" s="17">
        <v>4</v>
      </c>
      <c r="E15" s="26" t="s">
        <v>86</v>
      </c>
      <c r="F15" s="26" t="s">
        <v>118</v>
      </c>
      <c r="G15" s="26" t="s">
        <v>138</v>
      </c>
      <c r="H15" s="17" t="s">
        <v>166</v>
      </c>
      <c r="I15" s="6" t="s">
        <v>168</v>
      </c>
      <c r="J15" s="24"/>
      <c r="K15" s="12">
        <f t="shared" si="1"/>
        <v>20</v>
      </c>
    </row>
    <row r="16" spans="1:11" ht="25.5" x14ac:dyDescent="0.2">
      <c r="A16" s="22">
        <f t="shared" si="0"/>
        <v>7</v>
      </c>
      <c r="B16" s="5" t="s">
        <v>21</v>
      </c>
      <c r="C16" s="5" t="s">
        <v>54</v>
      </c>
      <c r="D16" s="16">
        <v>2</v>
      </c>
      <c r="E16" s="23" t="s">
        <v>87</v>
      </c>
      <c r="F16" s="23" t="s">
        <v>119</v>
      </c>
      <c r="G16" s="23" t="s">
        <v>139</v>
      </c>
      <c r="H16" s="16" t="s">
        <v>166</v>
      </c>
      <c r="I16" s="6" t="s">
        <v>168</v>
      </c>
      <c r="J16" s="24"/>
      <c r="K16" s="12">
        <f t="shared" si="1"/>
        <v>10</v>
      </c>
    </row>
    <row r="17" spans="1:11" ht="25.5" x14ac:dyDescent="0.2">
      <c r="A17" s="25">
        <f t="shared" si="0"/>
        <v>8</v>
      </c>
      <c r="B17" s="6" t="s">
        <v>22</v>
      </c>
      <c r="C17" s="6" t="s">
        <v>55</v>
      </c>
      <c r="D17" s="17">
        <v>4</v>
      </c>
      <c r="E17" s="26" t="s">
        <v>88</v>
      </c>
      <c r="F17" s="26" t="s">
        <v>119</v>
      </c>
      <c r="G17" s="26" t="s">
        <v>140</v>
      </c>
      <c r="H17" s="17" t="s">
        <v>166</v>
      </c>
      <c r="I17" s="6" t="s">
        <v>168</v>
      </c>
      <c r="J17" s="24"/>
      <c r="K17" s="12">
        <f t="shared" si="1"/>
        <v>20</v>
      </c>
    </row>
    <row r="18" spans="1:11" ht="25.5" x14ac:dyDescent="0.2">
      <c r="A18" s="22">
        <f t="shared" si="0"/>
        <v>9</v>
      </c>
      <c r="B18" s="5" t="s">
        <v>23</v>
      </c>
      <c r="C18" s="5" t="s">
        <v>56</v>
      </c>
      <c r="D18" s="16">
        <v>4</v>
      </c>
      <c r="E18" s="23" t="s">
        <v>89</v>
      </c>
      <c r="F18" s="23" t="s">
        <v>120</v>
      </c>
      <c r="G18" s="23" t="s">
        <v>141</v>
      </c>
      <c r="H18" s="16" t="s">
        <v>166</v>
      </c>
      <c r="I18" s="6" t="s">
        <v>168</v>
      </c>
      <c r="J18" s="24"/>
      <c r="K18" s="12">
        <f t="shared" si="1"/>
        <v>20</v>
      </c>
    </row>
    <row r="19" spans="1:11" ht="25.5" x14ac:dyDescent="0.2">
      <c r="A19" s="25">
        <f t="shared" si="0"/>
        <v>10</v>
      </c>
      <c r="B19" s="6" t="s">
        <v>24</v>
      </c>
      <c r="C19" s="6" t="s">
        <v>57</v>
      </c>
      <c r="D19" s="17">
        <v>3</v>
      </c>
      <c r="E19" s="26" t="s">
        <v>90</v>
      </c>
      <c r="F19" s="26" t="s">
        <v>119</v>
      </c>
      <c r="G19" s="26" t="s">
        <v>142</v>
      </c>
      <c r="H19" s="17" t="s">
        <v>166</v>
      </c>
      <c r="I19" s="6" t="s">
        <v>168</v>
      </c>
      <c r="J19" s="24"/>
      <c r="K19" s="12">
        <f t="shared" si="1"/>
        <v>15</v>
      </c>
    </row>
    <row r="20" spans="1:11" ht="25.5" x14ac:dyDescent="0.2">
      <c r="A20" s="22">
        <f t="shared" si="0"/>
        <v>11</v>
      </c>
      <c r="B20" s="5" t="s">
        <v>25</v>
      </c>
      <c r="C20" s="5" t="s">
        <v>58</v>
      </c>
      <c r="D20" s="16">
        <v>2</v>
      </c>
      <c r="E20" s="23" t="s">
        <v>91</v>
      </c>
      <c r="F20" s="23" t="s">
        <v>121</v>
      </c>
      <c r="G20" s="23" t="s">
        <v>143</v>
      </c>
      <c r="H20" s="16" t="s">
        <v>166</v>
      </c>
      <c r="I20" s="6" t="s">
        <v>168</v>
      </c>
      <c r="J20" s="24"/>
      <c r="K20" s="12">
        <f t="shared" si="1"/>
        <v>10</v>
      </c>
    </row>
    <row r="21" spans="1:11" ht="25.5" x14ac:dyDescent="0.2">
      <c r="A21" s="25">
        <f t="shared" si="0"/>
        <v>12</v>
      </c>
      <c r="B21" s="6" t="s">
        <v>26</v>
      </c>
      <c r="C21" s="6" t="s">
        <v>59</v>
      </c>
      <c r="D21" s="17">
        <v>4</v>
      </c>
      <c r="E21" s="26" t="s">
        <v>92</v>
      </c>
      <c r="F21" s="26" t="s">
        <v>122</v>
      </c>
      <c r="G21" s="26" t="s">
        <v>144</v>
      </c>
      <c r="H21" s="17" t="s">
        <v>167</v>
      </c>
      <c r="I21" s="6" t="s">
        <v>168</v>
      </c>
      <c r="J21" s="24"/>
      <c r="K21" s="12">
        <f t="shared" si="1"/>
        <v>20</v>
      </c>
    </row>
    <row r="22" spans="1:11" ht="25.5" x14ac:dyDescent="0.2">
      <c r="A22" s="22">
        <f t="shared" si="0"/>
        <v>13</v>
      </c>
      <c r="B22" s="5" t="s">
        <v>27</v>
      </c>
      <c r="C22" s="5" t="s">
        <v>60</v>
      </c>
      <c r="D22" s="16">
        <v>8</v>
      </c>
      <c r="E22" s="23" t="s">
        <v>93</v>
      </c>
      <c r="F22" s="23" t="s">
        <v>117</v>
      </c>
      <c r="G22" s="23" t="s">
        <v>145</v>
      </c>
      <c r="H22" s="16" t="s">
        <v>166</v>
      </c>
      <c r="I22" s="6" t="s">
        <v>168</v>
      </c>
      <c r="J22" s="24"/>
      <c r="K22" s="12">
        <f t="shared" si="1"/>
        <v>40</v>
      </c>
    </row>
    <row r="23" spans="1:11" ht="38.25" x14ac:dyDescent="0.2">
      <c r="A23" s="25">
        <f t="shared" si="0"/>
        <v>14</v>
      </c>
      <c r="B23" s="6" t="s">
        <v>28</v>
      </c>
      <c r="C23" s="6" t="s">
        <v>61</v>
      </c>
      <c r="D23" s="17">
        <v>4</v>
      </c>
      <c r="E23" s="26" t="s">
        <v>94</v>
      </c>
      <c r="F23" s="26" t="s">
        <v>123</v>
      </c>
      <c r="G23" s="26" t="s">
        <v>146</v>
      </c>
      <c r="H23" s="17" t="s">
        <v>166</v>
      </c>
      <c r="I23" s="6" t="s">
        <v>168</v>
      </c>
      <c r="J23" s="24"/>
      <c r="K23" s="12">
        <f t="shared" si="1"/>
        <v>20</v>
      </c>
    </row>
    <row r="24" spans="1:11" ht="51" x14ac:dyDescent="0.2">
      <c r="A24" s="22">
        <f t="shared" si="0"/>
        <v>15</v>
      </c>
      <c r="B24" s="5" t="s">
        <v>29</v>
      </c>
      <c r="C24" s="5" t="s">
        <v>62</v>
      </c>
      <c r="D24" s="16">
        <v>17</v>
      </c>
      <c r="E24" s="23" t="s">
        <v>95</v>
      </c>
      <c r="F24" s="23" t="s">
        <v>124</v>
      </c>
      <c r="G24" s="23" t="s">
        <v>147</v>
      </c>
      <c r="H24" s="16" t="s">
        <v>166</v>
      </c>
      <c r="I24" s="6" t="s">
        <v>168</v>
      </c>
      <c r="J24" s="24"/>
      <c r="K24" s="12">
        <f t="shared" si="1"/>
        <v>85</v>
      </c>
    </row>
    <row r="25" spans="1:11" ht="25.5" x14ac:dyDescent="0.2">
      <c r="A25" s="25">
        <f t="shared" si="0"/>
        <v>16</v>
      </c>
      <c r="B25" s="6" t="s">
        <v>30</v>
      </c>
      <c r="C25" s="6" t="s">
        <v>63</v>
      </c>
      <c r="D25" s="17">
        <v>8</v>
      </c>
      <c r="E25" s="26" t="s">
        <v>96</v>
      </c>
      <c r="F25" s="26" t="s">
        <v>124</v>
      </c>
      <c r="G25" s="26" t="s">
        <v>148</v>
      </c>
      <c r="H25" s="17" t="s">
        <v>166</v>
      </c>
      <c r="I25" s="6" t="s">
        <v>168</v>
      </c>
      <c r="J25" s="24"/>
      <c r="K25" s="12">
        <f t="shared" si="1"/>
        <v>40</v>
      </c>
    </row>
    <row r="26" spans="1:11" ht="25.5" x14ac:dyDescent="0.2">
      <c r="A26" s="22">
        <f t="shared" si="0"/>
        <v>17</v>
      </c>
      <c r="B26" s="5" t="s">
        <v>31</v>
      </c>
      <c r="C26" s="5" t="s">
        <v>64</v>
      </c>
      <c r="D26" s="16">
        <v>4</v>
      </c>
      <c r="E26" s="23" t="s">
        <v>97</v>
      </c>
      <c r="F26" s="23" t="s">
        <v>125</v>
      </c>
      <c r="G26" s="23" t="s">
        <v>149</v>
      </c>
      <c r="H26" s="16" t="s">
        <v>166</v>
      </c>
      <c r="I26" s="6" t="s">
        <v>168</v>
      </c>
      <c r="J26" s="24"/>
      <c r="K26" s="12">
        <f t="shared" si="1"/>
        <v>20</v>
      </c>
    </row>
    <row r="27" spans="1:11" ht="25.5" x14ac:dyDescent="0.2">
      <c r="A27" s="25">
        <f t="shared" si="0"/>
        <v>18</v>
      </c>
      <c r="B27" s="6" t="s">
        <v>32</v>
      </c>
      <c r="C27" s="6" t="s">
        <v>65</v>
      </c>
      <c r="D27" s="17">
        <v>4</v>
      </c>
      <c r="E27" s="26" t="s">
        <v>98</v>
      </c>
      <c r="F27" s="26" t="s">
        <v>125</v>
      </c>
      <c r="G27" s="26" t="s">
        <v>150</v>
      </c>
      <c r="H27" s="17" t="s">
        <v>166</v>
      </c>
      <c r="I27" s="6" t="s">
        <v>168</v>
      </c>
      <c r="J27" s="24"/>
      <c r="K27" s="12">
        <f t="shared" si="1"/>
        <v>20</v>
      </c>
    </row>
    <row r="28" spans="1:11" ht="25.5" x14ac:dyDescent="0.2">
      <c r="A28" s="22">
        <f t="shared" si="0"/>
        <v>19</v>
      </c>
      <c r="B28" s="5" t="s">
        <v>33</v>
      </c>
      <c r="C28" s="5" t="s">
        <v>66</v>
      </c>
      <c r="D28" s="16">
        <v>2</v>
      </c>
      <c r="E28" s="23" t="s">
        <v>99</v>
      </c>
      <c r="F28" s="23" t="s">
        <v>125</v>
      </c>
      <c r="G28" s="23" t="s">
        <v>151</v>
      </c>
      <c r="H28" s="16" t="s">
        <v>166</v>
      </c>
      <c r="I28" s="6" t="s">
        <v>168</v>
      </c>
      <c r="J28" s="24"/>
      <c r="K28" s="12">
        <f t="shared" si="1"/>
        <v>10</v>
      </c>
    </row>
    <row r="29" spans="1:11" ht="25.5" x14ac:dyDescent="0.2">
      <c r="A29" s="25">
        <f t="shared" si="0"/>
        <v>20</v>
      </c>
      <c r="B29" s="6" t="s">
        <v>34</v>
      </c>
      <c r="C29" s="6" t="s">
        <v>67</v>
      </c>
      <c r="D29" s="17">
        <v>4</v>
      </c>
      <c r="E29" s="26" t="s">
        <v>100</v>
      </c>
      <c r="F29" s="26" t="s">
        <v>125</v>
      </c>
      <c r="G29" s="26" t="s">
        <v>152</v>
      </c>
      <c r="H29" s="17" t="s">
        <v>166</v>
      </c>
      <c r="I29" s="6" t="s">
        <v>168</v>
      </c>
      <c r="J29" s="24"/>
      <c r="K29" s="12">
        <f t="shared" si="1"/>
        <v>20</v>
      </c>
    </row>
    <row r="30" spans="1:11" ht="25.5" x14ac:dyDescent="0.2">
      <c r="A30" s="22">
        <f t="shared" si="0"/>
        <v>21</v>
      </c>
      <c r="B30" s="5" t="s">
        <v>35</v>
      </c>
      <c r="C30" s="5" t="s">
        <v>68</v>
      </c>
      <c r="D30" s="16">
        <v>4</v>
      </c>
      <c r="E30" s="23" t="s">
        <v>101</v>
      </c>
      <c r="F30" s="23" t="s">
        <v>125</v>
      </c>
      <c r="G30" s="23" t="s">
        <v>153</v>
      </c>
      <c r="H30" s="16" t="s">
        <v>166</v>
      </c>
      <c r="I30" s="6" t="s">
        <v>168</v>
      </c>
      <c r="J30" s="24"/>
      <c r="K30" s="12">
        <f t="shared" si="1"/>
        <v>20</v>
      </c>
    </row>
    <row r="31" spans="1:11" ht="25.5" x14ac:dyDescent="0.2">
      <c r="A31" s="25">
        <f t="shared" si="0"/>
        <v>22</v>
      </c>
      <c r="B31" s="6" t="s">
        <v>36</v>
      </c>
      <c r="C31" s="6" t="s">
        <v>69</v>
      </c>
      <c r="D31" s="17">
        <v>4</v>
      </c>
      <c r="E31" s="26" t="s">
        <v>102</v>
      </c>
      <c r="F31" s="26" t="s">
        <v>125</v>
      </c>
      <c r="G31" s="26" t="s">
        <v>154</v>
      </c>
      <c r="H31" s="17" t="s">
        <v>166</v>
      </c>
      <c r="I31" s="6" t="s">
        <v>168</v>
      </c>
      <c r="J31" s="24"/>
      <c r="K31" s="12">
        <f t="shared" si="1"/>
        <v>20</v>
      </c>
    </row>
    <row r="32" spans="1:11" ht="25.5" x14ac:dyDescent="0.2">
      <c r="A32" s="22">
        <f t="shared" si="0"/>
        <v>23</v>
      </c>
      <c r="B32" s="5" t="s">
        <v>37</v>
      </c>
      <c r="C32" s="5" t="s">
        <v>70</v>
      </c>
      <c r="D32" s="16">
        <v>4</v>
      </c>
      <c r="E32" s="23" t="s">
        <v>103</v>
      </c>
      <c r="F32" s="23" t="s">
        <v>126</v>
      </c>
      <c r="G32" s="23" t="s">
        <v>155</v>
      </c>
      <c r="H32" s="16" t="s">
        <v>166</v>
      </c>
      <c r="I32" s="6" t="s">
        <v>168</v>
      </c>
      <c r="J32" s="24"/>
      <c r="K32" s="12">
        <f t="shared" si="1"/>
        <v>20</v>
      </c>
    </row>
    <row r="33" spans="1:11" ht="25.5" x14ac:dyDescent="0.2">
      <c r="A33" s="25">
        <f t="shared" si="0"/>
        <v>24</v>
      </c>
      <c r="B33" s="6" t="s">
        <v>38</v>
      </c>
      <c r="C33" s="6" t="s">
        <v>71</v>
      </c>
      <c r="D33" s="17">
        <v>8</v>
      </c>
      <c r="E33" s="26" t="s">
        <v>104</v>
      </c>
      <c r="F33" s="26" t="s">
        <v>127</v>
      </c>
      <c r="G33" s="26" t="s">
        <v>156</v>
      </c>
      <c r="H33" s="17" t="s">
        <v>167</v>
      </c>
      <c r="I33" s="6" t="s">
        <v>168</v>
      </c>
      <c r="J33" s="24"/>
      <c r="K33" s="12">
        <f t="shared" si="1"/>
        <v>40</v>
      </c>
    </row>
    <row r="34" spans="1:11" x14ac:dyDescent="0.2">
      <c r="A34" s="22">
        <f t="shared" si="0"/>
        <v>25</v>
      </c>
      <c r="B34" s="5" t="s">
        <v>39</v>
      </c>
      <c r="C34" s="5" t="s">
        <v>72</v>
      </c>
      <c r="D34" s="16">
        <v>1</v>
      </c>
      <c r="E34" s="23" t="s">
        <v>105</v>
      </c>
      <c r="F34" s="23" t="s">
        <v>128</v>
      </c>
      <c r="G34" s="23" t="s">
        <v>157</v>
      </c>
      <c r="H34" s="16" t="s">
        <v>166</v>
      </c>
      <c r="I34" s="6" t="s">
        <v>168</v>
      </c>
      <c r="J34" s="24"/>
      <c r="K34" s="12">
        <f t="shared" si="1"/>
        <v>5</v>
      </c>
    </row>
    <row r="35" spans="1:11" x14ac:dyDescent="0.2">
      <c r="A35" s="25">
        <f t="shared" si="0"/>
        <v>26</v>
      </c>
      <c r="B35" s="6" t="s">
        <v>40</v>
      </c>
      <c r="C35" s="6" t="s">
        <v>73</v>
      </c>
      <c r="D35" s="17">
        <v>1</v>
      </c>
      <c r="E35" s="26" t="s">
        <v>106</v>
      </c>
      <c r="F35" s="26" t="s">
        <v>128</v>
      </c>
      <c r="G35" s="26" t="s">
        <v>158</v>
      </c>
      <c r="H35" s="17" t="s">
        <v>166</v>
      </c>
      <c r="I35" s="6" t="s">
        <v>168</v>
      </c>
      <c r="J35" s="24"/>
      <c r="K35" s="12">
        <f t="shared" si="1"/>
        <v>5</v>
      </c>
    </row>
    <row r="36" spans="1:11" ht="25.5" x14ac:dyDescent="0.2">
      <c r="A36" s="22">
        <f t="shared" si="0"/>
        <v>27</v>
      </c>
      <c r="B36" s="5" t="s">
        <v>41</v>
      </c>
      <c r="C36" s="5" t="s">
        <v>74</v>
      </c>
      <c r="D36" s="16">
        <v>2</v>
      </c>
      <c r="E36" s="23" t="s">
        <v>107</v>
      </c>
      <c r="F36" s="23" t="s">
        <v>129</v>
      </c>
      <c r="G36" s="23" t="s">
        <v>159</v>
      </c>
      <c r="H36" s="16" t="s">
        <v>167</v>
      </c>
      <c r="I36" s="6" t="s">
        <v>168</v>
      </c>
      <c r="J36" s="24"/>
      <c r="K36" s="12">
        <f t="shared" si="1"/>
        <v>10</v>
      </c>
    </row>
    <row r="37" spans="1:11" ht="25.5" x14ac:dyDescent="0.2">
      <c r="A37" s="25">
        <f t="shared" si="0"/>
        <v>28</v>
      </c>
      <c r="B37" s="6" t="s">
        <v>42</v>
      </c>
      <c r="C37" s="6" t="s">
        <v>75</v>
      </c>
      <c r="D37" s="17">
        <v>2</v>
      </c>
      <c r="E37" s="26" t="s">
        <v>108</v>
      </c>
      <c r="F37" s="26" t="s">
        <v>130</v>
      </c>
      <c r="G37" s="26" t="s">
        <v>160</v>
      </c>
      <c r="H37" s="17" t="s">
        <v>166</v>
      </c>
      <c r="I37" s="6" t="s">
        <v>168</v>
      </c>
      <c r="J37" s="24"/>
      <c r="K37" s="12">
        <f t="shared" si="1"/>
        <v>10</v>
      </c>
    </row>
    <row r="38" spans="1:11" ht="25.5" x14ac:dyDescent="0.2">
      <c r="A38" s="22">
        <f t="shared" si="0"/>
        <v>29</v>
      </c>
      <c r="B38" s="5" t="s">
        <v>43</v>
      </c>
      <c r="C38" s="5" t="s">
        <v>76</v>
      </c>
      <c r="D38" s="16">
        <v>3</v>
      </c>
      <c r="E38" s="23" t="s">
        <v>109</v>
      </c>
      <c r="F38" s="23" t="s">
        <v>129</v>
      </c>
      <c r="G38" s="23" t="s">
        <v>161</v>
      </c>
      <c r="H38" s="16" t="s">
        <v>167</v>
      </c>
      <c r="I38" s="6" t="s">
        <v>168</v>
      </c>
      <c r="J38" s="24"/>
      <c r="K38" s="12">
        <f t="shared" si="1"/>
        <v>15</v>
      </c>
    </row>
    <row r="39" spans="1:11" x14ac:dyDescent="0.2">
      <c r="A39" s="25">
        <f t="shared" si="0"/>
        <v>30</v>
      </c>
      <c r="B39" s="6" t="s">
        <v>44</v>
      </c>
      <c r="C39" s="6" t="s">
        <v>77</v>
      </c>
      <c r="D39" s="17">
        <v>1</v>
      </c>
      <c r="E39" s="26" t="s">
        <v>110</v>
      </c>
      <c r="F39" s="26" t="s">
        <v>130</v>
      </c>
      <c r="G39" s="26" t="s">
        <v>162</v>
      </c>
      <c r="H39" s="17" t="s">
        <v>166</v>
      </c>
      <c r="I39" s="6" t="s">
        <v>168</v>
      </c>
      <c r="J39" s="24"/>
      <c r="K39" s="12">
        <f t="shared" si="1"/>
        <v>5</v>
      </c>
    </row>
    <row r="40" spans="1:11" ht="25.5" x14ac:dyDescent="0.2">
      <c r="A40" s="22">
        <f t="shared" si="0"/>
        <v>31</v>
      </c>
      <c r="B40" s="5" t="s">
        <v>45</v>
      </c>
      <c r="C40" s="5" t="s">
        <v>78</v>
      </c>
      <c r="D40" s="16">
        <v>2</v>
      </c>
      <c r="E40" s="23" t="s">
        <v>111</v>
      </c>
      <c r="F40" s="23" t="s">
        <v>131</v>
      </c>
      <c r="G40" s="23" t="s">
        <v>163</v>
      </c>
      <c r="H40" s="16" t="s">
        <v>166</v>
      </c>
      <c r="I40" s="6" t="s">
        <v>168</v>
      </c>
      <c r="J40" s="24"/>
      <c r="K40" s="12">
        <f t="shared" si="1"/>
        <v>10</v>
      </c>
    </row>
    <row r="41" spans="1:11" x14ac:dyDescent="0.2">
      <c r="A41" s="25">
        <f t="shared" si="0"/>
        <v>32</v>
      </c>
      <c r="B41" s="6" t="s">
        <v>46</v>
      </c>
      <c r="C41" s="6" t="s">
        <v>79</v>
      </c>
      <c r="D41" s="17">
        <v>2</v>
      </c>
      <c r="E41" s="26" t="s">
        <v>112</v>
      </c>
      <c r="F41" s="26" t="s">
        <v>118</v>
      </c>
      <c r="G41" s="26" t="s">
        <v>164</v>
      </c>
      <c r="H41" s="17" t="s">
        <v>166</v>
      </c>
      <c r="I41" s="6" t="s">
        <v>168</v>
      </c>
      <c r="J41" s="24"/>
      <c r="K41" s="12">
        <f t="shared" si="1"/>
        <v>10</v>
      </c>
    </row>
    <row r="42" spans="1:11" ht="12.75" customHeight="1" x14ac:dyDescent="0.2">
      <c r="B42" s="2"/>
      <c r="C42" s="3"/>
      <c r="D42" s="18"/>
      <c r="E42" s="14"/>
      <c r="F42" s="14"/>
      <c r="G42" s="14"/>
      <c r="H42" s="18"/>
      <c r="I42" s="3"/>
      <c r="K42" s="12"/>
    </row>
    <row r="43" spans="1:11" ht="12.75" customHeight="1" x14ac:dyDescent="0.2">
      <c r="B43" s="2"/>
      <c r="C43" s="3"/>
      <c r="D43" s="18"/>
      <c r="E43" s="14"/>
      <c r="F43" s="14"/>
      <c r="G43" s="14"/>
      <c r="H43" s="18"/>
      <c r="I43" s="3"/>
    </row>
    <row r="44" spans="1:11" ht="12.75" customHeight="1" x14ac:dyDescent="0.2">
      <c r="B44" s="2"/>
      <c r="C44" s="3"/>
      <c r="D44" s="18"/>
      <c r="E44" s="14"/>
      <c r="F44" s="14"/>
      <c r="G44" s="14"/>
      <c r="H44" s="18"/>
      <c r="I44" s="3"/>
    </row>
    <row r="45" spans="1:11" ht="12.75" customHeight="1" x14ac:dyDescent="0.2">
      <c r="B45" s="2"/>
      <c r="C45" s="3"/>
      <c r="D45" s="18"/>
      <c r="E45" s="14"/>
      <c r="F45" s="14"/>
      <c r="G45" s="14"/>
      <c r="H45" s="18"/>
      <c r="I45" s="3"/>
    </row>
    <row r="46" spans="1:11" ht="12.75" customHeight="1" x14ac:dyDescent="0.2">
      <c r="B46" s="2"/>
      <c r="C46" s="3"/>
      <c r="D46" s="18"/>
      <c r="E46" s="14"/>
      <c r="F46" s="14"/>
      <c r="G46" s="14"/>
      <c r="H46" s="18"/>
      <c r="I46" s="3"/>
    </row>
    <row r="47" spans="1:11" x14ac:dyDescent="0.2">
      <c r="B47" s="2"/>
      <c r="C47" s="3"/>
      <c r="D47" s="18"/>
      <c r="E47" s="14"/>
      <c r="F47" s="14"/>
      <c r="G47" s="14"/>
      <c r="H47" s="18"/>
      <c r="I47" s="3"/>
    </row>
    <row r="48" spans="1:11" x14ac:dyDescent="0.2">
      <c r="B48" s="2"/>
      <c r="C48" s="3"/>
      <c r="D48" s="18"/>
      <c r="E48" s="14"/>
      <c r="F48" s="14"/>
      <c r="G48" s="14"/>
      <c r="H48" s="18"/>
      <c r="I48" s="3"/>
    </row>
    <row r="49" spans="2:9" x14ac:dyDescent="0.2">
      <c r="B49" s="2"/>
      <c r="C49" s="3"/>
      <c r="D49" s="18"/>
      <c r="E49" s="14"/>
      <c r="F49" s="14"/>
      <c r="G49" s="14"/>
    </row>
    <row r="50" spans="2:9" x14ac:dyDescent="0.2">
      <c r="B50" s="2"/>
      <c r="C50" s="3"/>
      <c r="D50" s="18"/>
      <c r="E50" s="14"/>
      <c r="F50" s="14"/>
      <c r="G50" s="14"/>
      <c r="H50" s="18"/>
    </row>
    <row r="51" spans="2:9" x14ac:dyDescent="0.2">
      <c r="B51" s="2"/>
      <c r="C51" s="3"/>
      <c r="D51" s="18"/>
      <c r="E51" s="14"/>
      <c r="F51" s="14"/>
      <c r="G51" s="14"/>
      <c r="H51" s="18"/>
      <c r="I51" s="8"/>
    </row>
    <row r="52" spans="2:9" x14ac:dyDescent="0.2">
      <c r="B52" s="2"/>
      <c r="C52" s="3"/>
      <c r="D52" s="18"/>
      <c r="E52" s="14"/>
      <c r="F52" s="14"/>
      <c r="G52" s="14"/>
      <c r="H52" s="18"/>
    </row>
    <row r="53" spans="2:9" x14ac:dyDescent="0.2">
      <c r="B53" s="2"/>
      <c r="C53" s="3"/>
      <c r="D53" s="18"/>
      <c r="E53" s="14"/>
      <c r="F53" s="14"/>
      <c r="G53" s="14"/>
      <c r="H53" s="18"/>
    </row>
    <row r="54" spans="2:9" x14ac:dyDescent="0.2">
      <c r="B54" s="2"/>
      <c r="C54" s="3"/>
      <c r="D54" s="18"/>
      <c r="E54" s="14"/>
      <c r="F54" s="14"/>
      <c r="G54" s="14"/>
      <c r="H54" s="18"/>
    </row>
    <row r="55" spans="2:9" x14ac:dyDescent="0.2">
      <c r="B55" s="2"/>
      <c r="C55" s="3"/>
      <c r="D55" s="18"/>
      <c r="E55" s="14"/>
      <c r="F55" s="14"/>
      <c r="G55" s="14"/>
      <c r="H55" s="18"/>
    </row>
    <row r="56" spans="2:9" x14ac:dyDescent="0.2">
      <c r="B56" s="2"/>
      <c r="C56" s="3"/>
      <c r="D56" s="18"/>
      <c r="E56" s="14"/>
      <c r="F56" s="14"/>
      <c r="G56" s="14"/>
      <c r="H56" s="18"/>
      <c r="I56" s="3"/>
    </row>
    <row r="57" spans="2:9" x14ac:dyDescent="0.2">
      <c r="B57" s="2"/>
      <c r="C57" s="3"/>
      <c r="D57" s="18"/>
      <c r="E57" s="14"/>
      <c r="F57" s="14"/>
      <c r="G57" s="14"/>
      <c r="H57" s="18"/>
      <c r="I57" s="3"/>
    </row>
    <row r="58" spans="2:9" x14ac:dyDescent="0.2">
      <c r="B58" s="2"/>
      <c r="C58" s="3"/>
      <c r="D58" s="18"/>
      <c r="E58" s="14"/>
      <c r="F58" s="14"/>
      <c r="G58" s="14"/>
      <c r="H58" s="18"/>
      <c r="I58" s="3"/>
    </row>
    <row r="59" spans="2:9" x14ac:dyDescent="0.2">
      <c r="B59" s="2"/>
      <c r="C59" s="3"/>
      <c r="D59" s="18"/>
      <c r="E59" s="14"/>
      <c r="F59" s="14"/>
      <c r="G59" s="14"/>
      <c r="H59" s="18"/>
      <c r="I59" s="3"/>
    </row>
    <row r="60" spans="2:9" x14ac:dyDescent="0.2">
      <c r="B60" s="2"/>
      <c r="C60" s="3"/>
      <c r="D60" s="18"/>
      <c r="E60" s="14"/>
      <c r="F60" s="14"/>
      <c r="G60" s="14"/>
      <c r="H60" s="18"/>
      <c r="I60" s="3"/>
    </row>
    <row r="61" spans="2:9" x14ac:dyDescent="0.2">
      <c r="B61" s="2"/>
      <c r="C61" s="3"/>
      <c r="D61" s="18"/>
      <c r="E61" s="14"/>
      <c r="F61" s="14"/>
      <c r="G61" s="14"/>
      <c r="H61" s="18"/>
      <c r="I61" s="3"/>
    </row>
    <row r="62" spans="2:9" x14ac:dyDescent="0.2">
      <c r="B62" s="2"/>
      <c r="C62" s="3"/>
      <c r="D62" s="18"/>
      <c r="E62" s="14"/>
      <c r="F62" s="14"/>
      <c r="G62" s="14"/>
      <c r="H62" s="18"/>
      <c r="I62" s="3"/>
    </row>
    <row r="63" spans="2:9" x14ac:dyDescent="0.2">
      <c r="B63" s="2"/>
      <c r="C63" s="3"/>
      <c r="D63" s="18"/>
      <c r="E63" s="14"/>
      <c r="F63" s="14"/>
      <c r="G63" s="14"/>
      <c r="H63" s="18"/>
      <c r="I63" s="3"/>
    </row>
    <row r="64" spans="2:9" x14ac:dyDescent="0.2">
      <c r="B64" s="2"/>
      <c r="C64" s="3"/>
      <c r="D64" s="18"/>
      <c r="E64" s="14"/>
      <c r="F64" s="14"/>
      <c r="G64" s="14"/>
      <c r="H64" s="18"/>
      <c r="I64" s="3"/>
    </row>
    <row r="65" spans="2:9" x14ac:dyDescent="0.2">
      <c r="B65" s="2"/>
      <c r="C65" s="3"/>
      <c r="D65" s="18"/>
      <c r="E65" s="14"/>
      <c r="F65" s="14"/>
      <c r="G65" s="14"/>
      <c r="H65" s="18"/>
      <c r="I65" s="3"/>
    </row>
    <row r="66" spans="2:9" x14ac:dyDescent="0.2">
      <c r="B66" s="2"/>
      <c r="C66" s="3"/>
      <c r="D66" s="18"/>
      <c r="E66" s="14"/>
      <c r="F66" s="14"/>
      <c r="G66" s="14"/>
      <c r="H66" s="18"/>
      <c r="I66" s="3"/>
    </row>
    <row r="67" spans="2:9" x14ac:dyDescent="0.2">
      <c r="B67" s="2"/>
      <c r="C67" s="3"/>
      <c r="D67" s="18"/>
      <c r="E67" s="14"/>
      <c r="F67" s="14"/>
      <c r="G67" s="14"/>
      <c r="H67" s="18"/>
      <c r="I67" s="3"/>
    </row>
    <row r="68" spans="2:9" x14ac:dyDescent="0.2">
      <c r="B68" s="2"/>
      <c r="C68" s="3"/>
      <c r="D68" s="18"/>
      <c r="E68" s="14"/>
      <c r="F68" s="14"/>
      <c r="G68" s="14"/>
      <c r="H68" s="18"/>
      <c r="I68" s="3"/>
    </row>
    <row r="69" spans="2:9" x14ac:dyDescent="0.2">
      <c r="B69" s="2"/>
      <c r="C69" s="3"/>
      <c r="D69" s="18"/>
      <c r="E69" s="14"/>
      <c r="F69" s="14"/>
      <c r="G69" s="14"/>
      <c r="H69" s="18"/>
      <c r="I69" s="3"/>
    </row>
    <row r="70" spans="2:9" x14ac:dyDescent="0.2">
      <c r="B70" s="2"/>
      <c r="C70" s="3"/>
      <c r="D70" s="18"/>
      <c r="E70" s="14"/>
      <c r="F70" s="14"/>
      <c r="G70" s="14"/>
      <c r="H70" s="18"/>
      <c r="I70" s="3"/>
    </row>
    <row r="71" spans="2:9" x14ac:dyDescent="0.2">
      <c r="B71" s="2"/>
      <c r="C71" s="3"/>
      <c r="D71" s="18"/>
      <c r="E71" s="14"/>
      <c r="F71" s="14"/>
      <c r="G71" s="14"/>
      <c r="H71" s="18"/>
      <c r="I71" s="3"/>
    </row>
    <row r="72" spans="2:9" x14ac:dyDescent="0.2">
      <c r="B72" s="2"/>
      <c r="C72" s="3"/>
      <c r="D72" s="18"/>
      <c r="E72" s="14"/>
      <c r="F72" s="14"/>
      <c r="G72" s="14"/>
      <c r="H72" s="18"/>
      <c r="I72" s="3"/>
    </row>
    <row r="73" spans="2:9" x14ac:dyDescent="0.2">
      <c r="B73" s="2"/>
      <c r="C73" s="3"/>
      <c r="D73" s="18"/>
      <c r="E73" s="14"/>
      <c r="F73" s="14"/>
      <c r="G73" s="14"/>
      <c r="H73" s="18"/>
      <c r="I73" s="3"/>
    </row>
    <row r="74" spans="2:9" x14ac:dyDescent="0.2">
      <c r="B74" s="2"/>
      <c r="C74" s="3"/>
      <c r="D74" s="18"/>
      <c r="E74" s="14"/>
      <c r="F74" s="14"/>
      <c r="G74" s="14"/>
      <c r="H74" s="18"/>
      <c r="I74" s="3"/>
    </row>
    <row r="75" spans="2:9" x14ac:dyDescent="0.2">
      <c r="B75" s="2"/>
      <c r="C75" s="3"/>
      <c r="D75" s="18"/>
      <c r="E75" s="14"/>
      <c r="F75" s="14"/>
      <c r="G75" s="14"/>
      <c r="H75" s="18"/>
      <c r="I75" s="3"/>
    </row>
    <row r="76" spans="2:9" x14ac:dyDescent="0.2">
      <c r="B76" s="2"/>
      <c r="C76" s="3"/>
      <c r="D76" s="18"/>
      <c r="E76" s="14"/>
      <c r="F76" s="14"/>
      <c r="G76" s="14"/>
      <c r="H76" s="18"/>
      <c r="I76" s="3"/>
    </row>
    <row r="77" spans="2:9" x14ac:dyDescent="0.2">
      <c r="B77" s="2"/>
      <c r="C77" s="3"/>
      <c r="D77" s="18"/>
      <c r="E77" s="14"/>
      <c r="F77" s="14"/>
      <c r="G77" s="14"/>
      <c r="H77" s="18"/>
      <c r="I77" s="3"/>
    </row>
    <row r="78" spans="2:9" x14ac:dyDescent="0.2">
      <c r="B78" s="2"/>
      <c r="C78" s="3"/>
      <c r="D78" s="18"/>
      <c r="E78" s="14"/>
      <c r="F78" s="14"/>
      <c r="G78" s="14"/>
      <c r="H78" s="18"/>
      <c r="I78" s="3"/>
    </row>
    <row r="79" spans="2:9" x14ac:dyDescent="0.2">
      <c r="B79" s="2"/>
      <c r="C79" s="3"/>
      <c r="D79" s="18"/>
      <c r="E79" s="14"/>
      <c r="F79" s="14"/>
      <c r="G79" s="14"/>
      <c r="H79" s="18"/>
      <c r="I79" s="3"/>
    </row>
    <row r="80" spans="2:9" x14ac:dyDescent="0.2">
      <c r="B80" s="2"/>
      <c r="C80" s="3"/>
      <c r="D80" s="18"/>
      <c r="E80" s="14"/>
      <c r="F80" s="14"/>
      <c r="G80" s="14"/>
      <c r="H80" s="18"/>
      <c r="I80" s="3"/>
    </row>
    <row r="81" spans="2:9" x14ac:dyDescent="0.2">
      <c r="B81" s="2"/>
      <c r="C81" s="3"/>
      <c r="D81" s="18"/>
      <c r="E81" s="14"/>
      <c r="F81" s="14"/>
      <c r="G81" s="14"/>
      <c r="H81" s="18"/>
      <c r="I81" s="3"/>
    </row>
    <row r="82" spans="2:9" x14ac:dyDescent="0.2">
      <c r="B82" s="2"/>
      <c r="C82" s="3"/>
      <c r="D82" s="18"/>
      <c r="E82" s="14"/>
      <c r="F82" s="14"/>
      <c r="G82" s="14"/>
      <c r="H82" s="18"/>
      <c r="I82" s="3"/>
    </row>
    <row r="83" spans="2:9" x14ac:dyDescent="0.2">
      <c r="B83" s="2"/>
      <c r="C83" s="3"/>
      <c r="D83" s="18"/>
      <c r="E83" s="14"/>
      <c r="F83" s="14"/>
      <c r="G83" s="14"/>
      <c r="H83" s="18"/>
      <c r="I83" s="3"/>
    </row>
    <row r="84" spans="2:9" x14ac:dyDescent="0.2">
      <c r="B84" s="2"/>
      <c r="C84" s="3"/>
      <c r="D84" s="18"/>
      <c r="E84" s="14"/>
      <c r="F84" s="14"/>
      <c r="G84" s="14"/>
      <c r="H84" s="18"/>
      <c r="I84" s="3"/>
    </row>
    <row r="85" spans="2:9" x14ac:dyDescent="0.2">
      <c r="B85" s="2"/>
      <c r="C85" s="3"/>
      <c r="D85" s="18"/>
      <c r="E85" s="14"/>
      <c r="F85" s="14"/>
      <c r="G85" s="14"/>
      <c r="H85" s="18"/>
      <c r="I85" s="3"/>
    </row>
    <row r="86" spans="2:9" x14ac:dyDescent="0.2">
      <c r="B86" s="2"/>
      <c r="C86" s="3"/>
      <c r="D86" s="18"/>
      <c r="E86" s="14"/>
      <c r="F86" s="14"/>
      <c r="G86" s="14"/>
      <c r="H86" s="18"/>
      <c r="I86" s="3"/>
    </row>
    <row r="87" spans="2:9" x14ac:dyDescent="0.2">
      <c r="B87" s="2"/>
      <c r="C87" s="3"/>
      <c r="D87" s="18"/>
      <c r="E87" s="14"/>
      <c r="F87" s="14"/>
      <c r="G87" s="14"/>
      <c r="H87" s="18"/>
      <c r="I87" s="3"/>
    </row>
    <row r="88" spans="2:9" x14ac:dyDescent="0.2">
      <c r="B88" s="2"/>
      <c r="C88" s="3"/>
      <c r="D88" s="18"/>
      <c r="E88" s="14"/>
      <c r="F88" s="19"/>
      <c r="G88" s="14"/>
      <c r="H88" s="18"/>
      <c r="I88" s="3"/>
    </row>
    <row r="89" spans="2:9" x14ac:dyDescent="0.2">
      <c r="B89" s="2"/>
      <c r="C89" s="3"/>
      <c r="D89" s="18"/>
      <c r="E89" s="14"/>
      <c r="F89" s="14"/>
      <c r="G89" s="14"/>
      <c r="H89" s="18"/>
      <c r="I89" s="3"/>
    </row>
    <row r="90" spans="2:9" x14ac:dyDescent="0.2">
      <c r="B90" s="2"/>
      <c r="C90" s="3"/>
      <c r="D90" s="18"/>
      <c r="E90" s="14"/>
      <c r="F90" s="14"/>
      <c r="G90" s="14"/>
      <c r="H90" s="18"/>
      <c r="I90" s="3"/>
    </row>
    <row r="91" spans="2:9" x14ac:dyDescent="0.2">
      <c r="B91" s="2"/>
      <c r="C91" s="3"/>
      <c r="D91" s="18"/>
      <c r="E91" s="14"/>
      <c r="F91" s="14"/>
      <c r="G91" s="14"/>
      <c r="H91" s="18"/>
      <c r="I91" s="3"/>
    </row>
    <row r="92" spans="2:9" x14ac:dyDescent="0.2">
      <c r="B92" s="2"/>
      <c r="C92" s="3"/>
      <c r="D92" s="18"/>
      <c r="E92" s="14"/>
      <c r="F92" s="14"/>
      <c r="G92" s="14"/>
      <c r="H92" s="18"/>
      <c r="I92" s="3"/>
    </row>
    <row r="93" spans="2:9" x14ac:dyDescent="0.2">
      <c r="B93" s="2"/>
      <c r="C93" s="3"/>
      <c r="D93" s="18"/>
      <c r="E93" s="14"/>
      <c r="F93" s="14"/>
      <c r="G93" s="14"/>
      <c r="H93" s="18"/>
      <c r="I93" s="3"/>
    </row>
    <row r="94" spans="2:9" x14ac:dyDescent="0.2">
      <c r="B94" s="2"/>
      <c r="C94" s="3"/>
      <c r="D94" s="18"/>
      <c r="E94" s="14"/>
      <c r="F94" s="14"/>
      <c r="G94" s="14"/>
      <c r="H94" s="18"/>
      <c r="I94" s="3"/>
    </row>
    <row r="95" spans="2:9" x14ac:dyDescent="0.2">
      <c r="B95" s="2"/>
      <c r="C95" s="3"/>
      <c r="D95" s="18"/>
      <c r="E95" s="14"/>
      <c r="F95" s="14"/>
      <c r="G95" s="14"/>
      <c r="H95" s="18"/>
      <c r="I95" s="3"/>
    </row>
    <row r="96" spans="2:9" x14ac:dyDescent="0.2">
      <c r="B96" s="2"/>
      <c r="C96" s="3"/>
      <c r="D96" s="18"/>
      <c r="E96" s="14"/>
      <c r="F96" s="14"/>
      <c r="G96" s="14"/>
      <c r="H96" s="18"/>
      <c r="I96" s="3"/>
    </row>
    <row r="97" spans="2:9" x14ac:dyDescent="0.2">
      <c r="B97" s="2"/>
      <c r="C97" s="3"/>
      <c r="D97" s="18"/>
      <c r="E97" s="14"/>
      <c r="F97" s="14"/>
      <c r="G97" s="14"/>
      <c r="H97" s="18"/>
      <c r="I97" s="3"/>
    </row>
    <row r="98" spans="2:9" x14ac:dyDescent="0.2">
      <c r="B98" s="2"/>
      <c r="C98" s="3"/>
      <c r="D98" s="18"/>
      <c r="E98" s="14"/>
      <c r="F98" s="14"/>
      <c r="G98" s="14"/>
      <c r="H98" s="18"/>
      <c r="I98" s="3"/>
    </row>
    <row r="99" spans="2:9" x14ac:dyDescent="0.2">
      <c r="B99" s="2"/>
      <c r="C99" s="3"/>
      <c r="D99" s="18"/>
      <c r="E99" s="14"/>
      <c r="F99" s="14"/>
      <c r="G99" s="14"/>
      <c r="H99" s="18"/>
      <c r="I99" s="3"/>
    </row>
    <row r="100" spans="2:9" x14ac:dyDescent="0.2">
      <c r="B100" s="2"/>
      <c r="C100" s="3"/>
      <c r="D100" s="18"/>
      <c r="E100" s="14"/>
      <c r="F100" s="14"/>
      <c r="G100" s="14"/>
      <c r="H100" s="18"/>
      <c r="I100" s="3"/>
    </row>
    <row r="101" spans="2:9" x14ac:dyDescent="0.2">
      <c r="B101" s="2"/>
      <c r="C101" s="3"/>
      <c r="D101" s="18"/>
      <c r="E101" s="14"/>
      <c r="F101" s="14"/>
      <c r="G101" s="14"/>
      <c r="H101" s="18"/>
      <c r="I101" s="3"/>
    </row>
    <row r="102" spans="2:9" x14ac:dyDescent="0.2">
      <c r="B102" s="2"/>
      <c r="C102" s="3"/>
      <c r="D102" s="18"/>
      <c r="E102" s="14"/>
      <c r="F102" s="14"/>
      <c r="G102" s="14"/>
      <c r="H102" s="18"/>
      <c r="I102" s="3"/>
    </row>
    <row r="103" spans="2:9" x14ac:dyDescent="0.2">
      <c r="B103" s="2"/>
      <c r="C103" s="3"/>
      <c r="D103" s="18"/>
      <c r="E103" s="14"/>
      <c r="F103" s="14"/>
      <c r="G103" s="14"/>
      <c r="H103" s="18"/>
      <c r="I103" s="3"/>
    </row>
    <row r="104" spans="2:9" x14ac:dyDescent="0.2">
      <c r="B104" s="2"/>
      <c r="C104" s="3"/>
      <c r="D104" s="18"/>
      <c r="E104" s="14"/>
      <c r="F104" s="14"/>
      <c r="G104" s="14"/>
      <c r="H104" s="18"/>
      <c r="I104" s="3"/>
    </row>
    <row r="105" spans="2:9" x14ac:dyDescent="0.2">
      <c r="B105" s="2"/>
      <c r="C105" s="3"/>
      <c r="D105" s="18"/>
      <c r="E105" s="14"/>
      <c r="F105" s="14"/>
      <c r="G105" s="14"/>
      <c r="H105" s="18"/>
      <c r="I105" s="3"/>
    </row>
    <row r="106" spans="2:9" x14ac:dyDescent="0.2">
      <c r="B106" s="2"/>
      <c r="C106" s="3"/>
      <c r="D106" s="18"/>
      <c r="E106" s="14"/>
      <c r="F106" s="14"/>
      <c r="G106" s="14"/>
      <c r="H106" s="18"/>
      <c r="I106" s="3"/>
    </row>
    <row r="107" spans="2:9" x14ac:dyDescent="0.2">
      <c r="B107" s="2"/>
      <c r="C107" s="3"/>
      <c r="D107" s="18"/>
      <c r="E107" s="14"/>
      <c r="F107" s="14"/>
      <c r="G107" s="14"/>
      <c r="H107" s="18"/>
      <c r="I107" s="3"/>
    </row>
    <row r="108" spans="2:9" x14ac:dyDescent="0.2">
      <c r="B108" s="2"/>
      <c r="C108" s="3"/>
      <c r="D108" s="18"/>
      <c r="E108" s="14"/>
      <c r="F108" s="14"/>
      <c r="G108" s="14"/>
      <c r="H108" s="18"/>
      <c r="I108" s="3"/>
    </row>
    <row r="109" spans="2:9" x14ac:dyDescent="0.2">
      <c r="B109" s="2"/>
      <c r="C109" s="3"/>
      <c r="D109" s="18"/>
      <c r="E109" s="14"/>
      <c r="F109" s="14"/>
      <c r="G109" s="14"/>
      <c r="H109" s="18"/>
      <c r="I109" s="3"/>
    </row>
    <row r="110" spans="2:9" x14ac:dyDescent="0.2">
      <c r="B110" s="2"/>
      <c r="C110" s="3"/>
      <c r="D110" s="18"/>
      <c r="E110" s="14"/>
      <c r="F110" s="14"/>
      <c r="G110" s="14"/>
      <c r="H110" s="18"/>
      <c r="I110" s="3"/>
    </row>
    <row r="111" spans="2:9" x14ac:dyDescent="0.2">
      <c r="B111" s="2"/>
      <c r="C111" s="3"/>
      <c r="D111" s="18"/>
      <c r="E111" s="14"/>
      <c r="F111" s="14"/>
      <c r="G111" s="14"/>
      <c r="H111" s="18"/>
      <c r="I111" s="3"/>
    </row>
    <row r="112" spans="2:9" x14ac:dyDescent="0.2">
      <c r="B112" s="2"/>
      <c r="C112" s="3"/>
      <c r="D112" s="18"/>
      <c r="E112" s="14"/>
      <c r="F112" s="14"/>
      <c r="G112" s="14"/>
      <c r="H112" s="18"/>
      <c r="I112" s="3"/>
    </row>
    <row r="113" spans="2:9" x14ac:dyDescent="0.2">
      <c r="B113" s="2"/>
      <c r="C113" s="3"/>
      <c r="D113" s="18"/>
      <c r="E113" s="14"/>
      <c r="F113" s="14"/>
      <c r="G113" s="14"/>
      <c r="H113" s="18"/>
      <c r="I113" s="3"/>
    </row>
    <row r="114" spans="2:9" x14ac:dyDescent="0.2">
      <c r="B114" s="2"/>
      <c r="C114" s="3"/>
      <c r="D114" s="18"/>
      <c r="E114" s="14"/>
      <c r="F114" s="14"/>
      <c r="G114" s="14"/>
      <c r="H114" s="18"/>
      <c r="I114" s="3"/>
    </row>
    <row r="115" spans="2:9" x14ac:dyDescent="0.2">
      <c r="B115" s="2"/>
      <c r="C115" s="3"/>
      <c r="D115" s="18"/>
      <c r="E115" s="14"/>
      <c r="F115" s="14"/>
      <c r="G115" s="14"/>
      <c r="H115" s="18"/>
      <c r="I115" s="3"/>
    </row>
    <row r="116" spans="2:9" x14ac:dyDescent="0.2">
      <c r="B116" s="2"/>
      <c r="C116" s="3"/>
      <c r="D116" s="18"/>
      <c r="E116" s="14"/>
      <c r="F116" s="14"/>
      <c r="G116" s="14"/>
      <c r="H116" s="18"/>
      <c r="I116" s="3"/>
    </row>
    <row r="117" spans="2:9" x14ac:dyDescent="0.2">
      <c r="B117" s="2"/>
      <c r="C117" s="3"/>
      <c r="D117" s="18"/>
      <c r="E117" s="14"/>
      <c r="F117" s="14"/>
      <c r="G117" s="14"/>
      <c r="H117" s="18"/>
      <c r="I117" s="3"/>
    </row>
    <row r="118" spans="2:9" x14ac:dyDescent="0.2">
      <c r="B118" s="2"/>
      <c r="C118" s="3"/>
      <c r="D118" s="18"/>
      <c r="E118" s="14"/>
      <c r="F118" s="14"/>
      <c r="G118" s="14"/>
      <c r="H118" s="18"/>
      <c r="I118" s="3"/>
    </row>
    <row r="119" spans="2:9" x14ac:dyDescent="0.2">
      <c r="B119" s="2"/>
      <c r="C119" s="3"/>
      <c r="D119" s="18"/>
      <c r="E119" s="14"/>
      <c r="F119" s="14"/>
      <c r="G119" s="14"/>
      <c r="H119" s="18"/>
      <c r="I119" s="3"/>
    </row>
    <row r="120" spans="2:9" x14ac:dyDescent="0.2">
      <c r="B120" s="2"/>
      <c r="C120" s="3"/>
      <c r="D120" s="18"/>
      <c r="E120" s="14"/>
      <c r="F120" s="14"/>
      <c r="G120" s="14"/>
      <c r="H120" s="18"/>
      <c r="I120" s="3"/>
    </row>
    <row r="121" spans="2:9" x14ac:dyDescent="0.2">
      <c r="B121" s="2"/>
      <c r="C121" s="3"/>
      <c r="D121" s="18"/>
      <c r="E121" s="14"/>
      <c r="F121" s="14"/>
      <c r="G121" s="14"/>
      <c r="H121" s="18"/>
      <c r="I121" s="3"/>
    </row>
    <row r="122" spans="2:9" x14ac:dyDescent="0.2">
      <c r="B122" s="2"/>
      <c r="C122" s="3"/>
      <c r="D122" s="18"/>
      <c r="E122" s="14"/>
      <c r="F122" s="14"/>
      <c r="G122" s="14"/>
      <c r="H122" s="18"/>
      <c r="I122" s="3"/>
    </row>
    <row r="123" spans="2:9" x14ac:dyDescent="0.2">
      <c r="B123" s="2"/>
      <c r="C123" s="3"/>
      <c r="D123" s="18"/>
      <c r="E123" s="14"/>
      <c r="F123" s="14"/>
      <c r="G123" s="14"/>
      <c r="H123" s="18"/>
      <c r="I123" s="3"/>
    </row>
    <row r="124" spans="2:9" x14ac:dyDescent="0.2">
      <c r="B124" s="2"/>
      <c r="C124" s="3"/>
      <c r="D124" s="18"/>
      <c r="E124" s="14"/>
      <c r="F124" s="14"/>
      <c r="G124" s="14"/>
      <c r="H124" s="18"/>
      <c r="I124" s="3"/>
    </row>
    <row r="125" spans="2:9" x14ac:dyDescent="0.2">
      <c r="B125" s="2"/>
      <c r="C125" s="3"/>
      <c r="D125" s="18"/>
      <c r="E125" s="14"/>
      <c r="F125" s="14"/>
      <c r="G125" s="14"/>
      <c r="H125" s="18"/>
      <c r="I125" s="3"/>
    </row>
    <row r="126" spans="2:9" x14ac:dyDescent="0.2">
      <c r="B126" s="2"/>
      <c r="C126" s="3"/>
      <c r="D126" s="18"/>
      <c r="E126" s="14"/>
      <c r="F126" s="14"/>
      <c r="G126" s="14"/>
      <c r="H126" s="18"/>
      <c r="I126" s="3"/>
    </row>
    <row r="127" spans="2:9" x14ac:dyDescent="0.2">
      <c r="B127" s="2"/>
      <c r="C127" s="3"/>
      <c r="D127" s="18"/>
      <c r="E127" s="14"/>
      <c r="F127" s="14"/>
      <c r="G127" s="14"/>
      <c r="H127" s="18"/>
      <c r="I127" s="3"/>
    </row>
    <row r="128" spans="2:9" x14ac:dyDescent="0.2">
      <c r="B128" s="2"/>
      <c r="C128" s="3"/>
      <c r="D128" s="18"/>
      <c r="E128" s="14"/>
      <c r="F128" s="14"/>
      <c r="G128" s="14"/>
      <c r="H128" s="18"/>
      <c r="I128" s="3"/>
    </row>
    <row r="129" spans="2:9" x14ac:dyDescent="0.2">
      <c r="B129" s="2"/>
      <c r="C129" s="3"/>
      <c r="D129" s="18"/>
      <c r="E129" s="14"/>
      <c r="F129" s="14"/>
      <c r="G129" s="14"/>
      <c r="H129" s="18"/>
      <c r="I129" s="3"/>
    </row>
    <row r="130" spans="2:9" x14ac:dyDescent="0.2">
      <c r="B130" s="2"/>
      <c r="C130" s="3"/>
      <c r="D130" s="18"/>
      <c r="E130" s="14"/>
      <c r="F130" s="14"/>
      <c r="G130" s="14"/>
      <c r="H130" s="18"/>
      <c r="I130" s="3"/>
    </row>
    <row r="131" spans="2:9" x14ac:dyDescent="0.2">
      <c r="B131" s="2"/>
      <c r="C131" s="3"/>
      <c r="D131" s="18"/>
      <c r="E131" s="14"/>
      <c r="F131" s="14"/>
      <c r="G131" s="14"/>
      <c r="H131" s="18"/>
      <c r="I131" s="3"/>
    </row>
    <row r="132" spans="2:9" x14ac:dyDescent="0.2">
      <c r="B132" s="2"/>
      <c r="C132" s="3"/>
      <c r="D132" s="18"/>
      <c r="E132" s="14"/>
      <c r="F132" s="14"/>
      <c r="G132" s="14"/>
      <c r="H132" s="18"/>
      <c r="I132" s="3"/>
    </row>
    <row r="133" spans="2:9" x14ac:dyDescent="0.2">
      <c r="B133" s="2"/>
      <c r="C133" s="3"/>
      <c r="D133" s="18"/>
      <c r="E133" s="14"/>
      <c r="F133" s="14"/>
      <c r="G133" s="14"/>
      <c r="H133" s="18"/>
      <c r="I133" s="3"/>
    </row>
    <row r="134" spans="2:9" x14ac:dyDescent="0.2">
      <c r="B134" s="2"/>
      <c r="C134" s="3"/>
      <c r="D134" s="18"/>
      <c r="E134" s="14"/>
      <c r="F134" s="14"/>
      <c r="G134" s="14"/>
      <c r="H134" s="18"/>
      <c r="I134" s="3"/>
    </row>
    <row r="135" spans="2:9" x14ac:dyDescent="0.2">
      <c r="B135" s="2"/>
      <c r="C135" s="3"/>
      <c r="D135" s="18"/>
      <c r="E135" s="14"/>
      <c r="F135" s="14"/>
      <c r="G135" s="14"/>
      <c r="H135" s="18"/>
      <c r="I135" s="3"/>
    </row>
    <row r="136" spans="2:9" x14ac:dyDescent="0.2">
      <c r="B136" s="2"/>
      <c r="C136" s="3"/>
      <c r="D136" s="18"/>
      <c r="E136" s="14"/>
      <c r="F136" s="14"/>
      <c r="G136" s="14"/>
      <c r="H136" s="18"/>
      <c r="I136" s="3"/>
    </row>
    <row r="137" spans="2:9" x14ac:dyDescent="0.2">
      <c r="B137" s="2"/>
      <c r="C137" s="3"/>
      <c r="D137" s="18"/>
      <c r="E137" s="14"/>
      <c r="F137" s="14"/>
      <c r="G137" s="14"/>
      <c r="H137" s="18"/>
      <c r="I137" s="3"/>
    </row>
    <row r="138" spans="2:9" x14ac:dyDescent="0.2">
      <c r="B138" s="2"/>
      <c r="C138" s="3"/>
      <c r="D138" s="18"/>
      <c r="E138" s="14"/>
      <c r="F138" s="14"/>
      <c r="G138" s="14"/>
      <c r="H138" s="18"/>
      <c r="I138" s="3"/>
    </row>
    <row r="139" spans="2:9" x14ac:dyDescent="0.2">
      <c r="B139" s="2"/>
      <c r="C139" s="3"/>
      <c r="D139" s="18"/>
      <c r="E139" s="14"/>
      <c r="F139" s="14"/>
      <c r="G139" s="14"/>
      <c r="H139" s="18"/>
      <c r="I139" s="3"/>
    </row>
    <row r="140" spans="2:9" x14ac:dyDescent="0.2">
      <c r="B140" s="2"/>
      <c r="C140" s="3"/>
      <c r="D140" s="18"/>
      <c r="E140" s="14"/>
      <c r="F140" s="14"/>
      <c r="G140" s="14"/>
      <c r="H140" s="18"/>
      <c r="I140" s="3"/>
    </row>
    <row r="141" spans="2:9" x14ac:dyDescent="0.2">
      <c r="B141" s="2"/>
      <c r="C141" s="3"/>
      <c r="D141" s="18"/>
      <c r="E141" s="14"/>
      <c r="F141" s="14"/>
      <c r="G141" s="14"/>
      <c r="H141" s="18"/>
      <c r="I141" s="3"/>
    </row>
    <row r="142" spans="2:9" x14ac:dyDescent="0.2">
      <c r="B142" s="2"/>
      <c r="C142" s="3"/>
      <c r="D142" s="18"/>
      <c r="E142" s="14"/>
      <c r="F142" s="14"/>
      <c r="G142" s="14"/>
      <c r="H142" s="18"/>
      <c r="I142" s="3"/>
    </row>
    <row r="143" spans="2:9" x14ac:dyDescent="0.2">
      <c r="B143" s="2"/>
      <c r="C143" s="3"/>
      <c r="D143" s="18"/>
      <c r="E143" s="14"/>
      <c r="F143" s="14"/>
      <c r="G143" s="14"/>
      <c r="H143" s="18"/>
      <c r="I143" s="3"/>
    </row>
    <row r="144" spans="2:9" x14ac:dyDescent="0.2">
      <c r="B144" s="2"/>
      <c r="C144" s="3"/>
      <c r="D144" s="18"/>
      <c r="E144" s="14"/>
      <c r="F144" s="14"/>
      <c r="G144" s="14"/>
      <c r="H144" s="18"/>
      <c r="I144" s="3"/>
    </row>
    <row r="145" spans="2:9" x14ac:dyDescent="0.2">
      <c r="B145" s="2"/>
      <c r="C145" s="3"/>
      <c r="D145" s="18"/>
      <c r="E145" s="14"/>
      <c r="F145" s="14"/>
      <c r="G145" s="14"/>
      <c r="H145" s="18"/>
      <c r="I145" s="3"/>
    </row>
    <row r="146" spans="2:9" x14ac:dyDescent="0.2">
      <c r="B146" s="2"/>
      <c r="C146" s="3"/>
      <c r="D146" s="18"/>
      <c r="E146" s="14"/>
      <c r="F146" s="14"/>
      <c r="G146" s="14"/>
      <c r="H146" s="18"/>
      <c r="I146" s="3"/>
    </row>
    <row r="147" spans="2:9" x14ac:dyDescent="0.2">
      <c r="B147" s="2"/>
      <c r="C147" s="3"/>
      <c r="D147" s="18"/>
      <c r="E147" s="14"/>
      <c r="F147" s="14"/>
      <c r="G147" s="14"/>
      <c r="H147" s="18"/>
      <c r="I147" s="3"/>
    </row>
    <row r="148" spans="2:9" x14ac:dyDescent="0.2">
      <c r="B148" s="2"/>
      <c r="C148" s="3"/>
      <c r="D148" s="18"/>
      <c r="E148" s="14"/>
      <c r="F148" s="14"/>
      <c r="G148" s="14"/>
      <c r="H148" s="18"/>
      <c r="I148" s="3"/>
    </row>
    <row r="149" spans="2:9" x14ac:dyDescent="0.2">
      <c r="B149" s="2"/>
      <c r="C149" s="3"/>
      <c r="D149" s="18"/>
      <c r="E149" s="14"/>
      <c r="F149" s="14"/>
      <c r="G149" s="14"/>
      <c r="H149" s="18"/>
      <c r="I149" s="3"/>
    </row>
    <row r="150" spans="2:9" x14ac:dyDescent="0.2">
      <c r="B150" s="2"/>
      <c r="C150" s="3"/>
      <c r="D150" s="18"/>
      <c r="E150" s="14"/>
      <c r="F150" s="14"/>
      <c r="G150" s="14"/>
      <c r="H150" s="18"/>
      <c r="I150" s="3"/>
    </row>
    <row r="151" spans="2:9" x14ac:dyDescent="0.2">
      <c r="B151" s="2"/>
      <c r="C151" s="3"/>
      <c r="D151" s="18"/>
      <c r="E151" s="14"/>
      <c r="F151" s="14"/>
      <c r="G151" s="14"/>
      <c r="H151" s="18"/>
      <c r="I151" s="3"/>
    </row>
    <row r="152" spans="2:9" x14ac:dyDescent="0.2">
      <c r="B152" s="2"/>
      <c r="C152" s="3"/>
      <c r="D152" s="18"/>
      <c r="E152" s="14"/>
      <c r="F152" s="14"/>
      <c r="G152" s="14"/>
      <c r="H152" s="18"/>
      <c r="I152" s="3"/>
    </row>
    <row r="153" spans="2:9" x14ac:dyDescent="0.2">
      <c r="B153" s="2"/>
      <c r="C153" s="3"/>
      <c r="D153" s="18"/>
      <c r="E153" s="14"/>
      <c r="F153" s="14"/>
      <c r="G153" s="14"/>
      <c r="H153" s="18"/>
      <c r="I153" s="3"/>
    </row>
    <row r="154" spans="2:9" x14ac:dyDescent="0.2">
      <c r="B154" s="2"/>
      <c r="C154" s="3"/>
      <c r="D154" s="18"/>
      <c r="E154" s="14"/>
      <c r="F154" s="14"/>
      <c r="G154" s="14"/>
      <c r="H154" s="18"/>
      <c r="I154" s="3"/>
    </row>
    <row r="155" spans="2:9" x14ac:dyDescent="0.2">
      <c r="B155" s="2"/>
      <c r="C155" s="3"/>
      <c r="D155" s="18"/>
      <c r="E155" s="14"/>
      <c r="F155" s="14"/>
      <c r="G155" s="14"/>
      <c r="H155" s="18"/>
      <c r="I155" s="3"/>
    </row>
    <row r="156" spans="2:9" x14ac:dyDescent="0.2">
      <c r="B156" s="2"/>
      <c r="C156" s="3"/>
      <c r="D156" s="18"/>
      <c r="E156" s="14"/>
      <c r="F156" s="14"/>
      <c r="G156" s="14"/>
      <c r="H156" s="18"/>
      <c r="I156" s="3"/>
    </row>
    <row r="157" spans="2:9" x14ac:dyDescent="0.2">
      <c r="B157" s="2"/>
      <c r="C157" s="3"/>
      <c r="D157" s="18"/>
      <c r="E157" s="14"/>
      <c r="F157" s="14"/>
      <c r="G157" s="14"/>
      <c r="H157" s="18"/>
      <c r="I157" s="3"/>
    </row>
    <row r="158" spans="2:9" x14ac:dyDescent="0.2">
      <c r="B158" s="2"/>
      <c r="C158" s="3"/>
      <c r="D158" s="18"/>
      <c r="E158" s="14"/>
      <c r="F158" s="14"/>
      <c r="G158" s="14"/>
      <c r="H158" s="18"/>
      <c r="I158" s="3"/>
    </row>
    <row r="159" spans="2:9" x14ac:dyDescent="0.2">
      <c r="B159" s="2"/>
      <c r="C159" s="3"/>
      <c r="D159" s="18"/>
      <c r="E159" s="14"/>
      <c r="F159" s="14"/>
      <c r="G159" s="14"/>
      <c r="H159" s="18"/>
      <c r="I159" s="3"/>
    </row>
    <row r="160" spans="2:9" x14ac:dyDescent="0.2">
      <c r="B160" s="2"/>
      <c r="C160" s="3"/>
      <c r="D160" s="18"/>
      <c r="E160" s="14"/>
      <c r="F160" s="14"/>
      <c r="G160" s="14"/>
      <c r="H160" s="18"/>
      <c r="I160" s="3"/>
    </row>
    <row r="161" spans="2:9" x14ac:dyDescent="0.2">
      <c r="B161" s="2"/>
      <c r="C161" s="3"/>
      <c r="D161" s="18"/>
      <c r="E161" s="14"/>
      <c r="F161" s="14"/>
      <c r="G161" s="14"/>
      <c r="H161" s="18"/>
      <c r="I161" s="3"/>
    </row>
    <row r="162" spans="2:9" x14ac:dyDescent="0.2">
      <c r="B162" s="2"/>
      <c r="C162" s="3"/>
      <c r="D162" s="18"/>
      <c r="E162" s="14"/>
      <c r="F162" s="14"/>
      <c r="G162" s="14"/>
      <c r="H162" s="18"/>
      <c r="I162" s="3"/>
    </row>
    <row r="163" spans="2:9" x14ac:dyDescent="0.2">
      <c r="B163" s="2"/>
      <c r="C163" s="3"/>
      <c r="D163" s="18"/>
      <c r="E163" s="14"/>
      <c r="F163" s="14"/>
      <c r="G163" s="14"/>
      <c r="H163" s="18"/>
      <c r="I163" s="3"/>
    </row>
    <row r="164" spans="2:9" x14ac:dyDescent="0.2">
      <c r="B164" s="2"/>
      <c r="C164" s="3"/>
      <c r="D164" s="18"/>
      <c r="E164" s="14"/>
      <c r="F164" s="14"/>
      <c r="G164" s="14"/>
      <c r="H164" s="18"/>
      <c r="I164" s="3"/>
    </row>
    <row r="165" spans="2:9" x14ac:dyDescent="0.2">
      <c r="B165" s="2"/>
      <c r="C165" s="3"/>
      <c r="D165" s="18"/>
      <c r="E165" s="14"/>
      <c r="F165" s="14"/>
      <c r="G165" s="14"/>
      <c r="H165" s="18"/>
      <c r="I165" s="3"/>
    </row>
    <row r="166" spans="2:9" x14ac:dyDescent="0.2">
      <c r="B166" s="2"/>
      <c r="C166" s="3"/>
      <c r="D166" s="18"/>
      <c r="E166" s="14"/>
      <c r="F166" s="14"/>
      <c r="G166" s="14"/>
      <c r="H166" s="18"/>
      <c r="I166" s="3"/>
    </row>
    <row r="167" spans="2:9" x14ac:dyDescent="0.2">
      <c r="B167" s="2"/>
      <c r="C167" s="3"/>
      <c r="D167" s="18"/>
      <c r="E167" s="14"/>
      <c r="F167" s="14"/>
      <c r="G167" s="14"/>
      <c r="H167" s="18"/>
      <c r="I167" s="3"/>
    </row>
  </sheetData>
  <autoFilter ref="A9:K41" xr:uid="{00000000-0001-0000-0100-000000000000}"/>
  <mergeCells count="1">
    <mergeCell ref="D2:H7"/>
  </mergeCells>
  <pageMargins left="0.70866141732283472" right="0.70866141732283472" top="0.51470588235294112" bottom="0.94488188976377963" header="0" footer="0.31496062992125984"/>
  <pageSetup paperSize="8" orientation="landscape" r:id="rId1"/>
  <headerFooter>
    <oddFooter>&amp;L&amp;F&amp;C&amp;"Arial,Bold"&amp;8Project Sunride
The Diamond, 32 Leavygreave Rd, Broomhall, Sheffield, UK, S3 7RD&amp;RPage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1BBCC-70C8-4FEC-8D01-9C98CFBFF92F}">
  <dimension ref="A1:K33"/>
  <sheetViews>
    <sheetView tabSelected="1" topLeftCell="A26" workbookViewId="0">
      <selection sqref="A1:K33"/>
    </sheetView>
  </sheetViews>
  <sheetFormatPr defaultRowHeight="15" x14ac:dyDescent="0.25"/>
  <sheetData>
    <row r="1" spans="1:11" ht="63.75" x14ac:dyDescent="0.25">
      <c r="A1" s="20" t="s">
        <v>0</v>
      </c>
      <c r="B1" s="20" t="s">
        <v>14</v>
      </c>
      <c r="C1" s="20" t="s">
        <v>47</v>
      </c>
      <c r="D1" s="15" t="s">
        <v>80</v>
      </c>
      <c r="E1" s="20" t="s">
        <v>81</v>
      </c>
      <c r="F1" s="20" t="s">
        <v>113</v>
      </c>
      <c r="G1" s="20" t="s">
        <v>132</v>
      </c>
      <c r="H1" s="20" t="s">
        <v>165</v>
      </c>
      <c r="I1" s="20" t="s">
        <v>168</v>
      </c>
      <c r="J1" s="20" t="s">
        <v>169</v>
      </c>
      <c r="K1" s="21" t="s">
        <v>173</v>
      </c>
    </row>
    <row r="2" spans="1:11" ht="38.25" x14ac:dyDescent="0.25">
      <c r="A2" s="22">
        <v>1</v>
      </c>
      <c r="B2" s="5" t="s">
        <v>15</v>
      </c>
      <c r="C2" s="5" t="s">
        <v>48</v>
      </c>
      <c r="D2" s="16">
        <v>1</v>
      </c>
      <c r="E2" s="23"/>
      <c r="F2" s="23"/>
      <c r="G2" s="23" t="s">
        <v>133</v>
      </c>
      <c r="H2" s="16"/>
      <c r="I2" s="6" t="s">
        <v>168</v>
      </c>
      <c r="J2" s="24" t="s">
        <v>170</v>
      </c>
      <c r="K2" s="12">
        <f ca="1">D2*$K$8</f>
        <v>5</v>
      </c>
    </row>
    <row r="3" spans="1:11" ht="382.5" x14ac:dyDescent="0.25">
      <c r="A3" s="25">
        <f>A2+1</f>
        <v>2</v>
      </c>
      <c r="B3" s="6" t="s">
        <v>16</v>
      </c>
      <c r="C3" s="6" t="s">
        <v>49</v>
      </c>
      <c r="D3" s="17">
        <v>31</v>
      </c>
      <c r="E3" s="26" t="s">
        <v>82</v>
      </c>
      <c r="F3" s="26" t="s">
        <v>114</v>
      </c>
      <c r="G3" s="26" t="s">
        <v>134</v>
      </c>
      <c r="H3" s="17" t="s">
        <v>166</v>
      </c>
      <c r="I3" s="6" t="s">
        <v>168</v>
      </c>
      <c r="J3" s="24"/>
      <c r="K3" s="12">
        <f t="shared" ref="K3:K33" ca="1" si="0">D3*$K$8</f>
        <v>155</v>
      </c>
    </row>
    <row r="4" spans="1:11" ht="76.5" x14ac:dyDescent="0.25">
      <c r="A4" s="25">
        <f t="shared" ref="A4:A33" si="1">A3+1</f>
        <v>3</v>
      </c>
      <c r="B4" s="5" t="s">
        <v>17</v>
      </c>
      <c r="C4" s="5" t="s">
        <v>50</v>
      </c>
      <c r="D4" s="16">
        <v>2</v>
      </c>
      <c r="E4" s="23" t="s">
        <v>83</v>
      </c>
      <c r="F4" s="23" t="s">
        <v>115</v>
      </c>
      <c r="G4" s="23" t="s">
        <v>135</v>
      </c>
      <c r="H4" s="16" t="s">
        <v>166</v>
      </c>
      <c r="I4" s="6" t="s">
        <v>168</v>
      </c>
      <c r="J4" s="24"/>
      <c r="K4" s="12">
        <f t="shared" ca="1" si="0"/>
        <v>10</v>
      </c>
    </row>
    <row r="5" spans="1:11" ht="76.5" x14ac:dyDescent="0.25">
      <c r="A5" s="25">
        <f t="shared" si="1"/>
        <v>4</v>
      </c>
      <c r="B5" s="6" t="s">
        <v>18</v>
      </c>
      <c r="C5" s="6" t="s">
        <v>51</v>
      </c>
      <c r="D5" s="17">
        <v>3</v>
      </c>
      <c r="E5" s="26" t="s">
        <v>84</v>
      </c>
      <c r="F5" s="26" t="s">
        <v>116</v>
      </c>
      <c r="G5" s="26" t="s">
        <v>136</v>
      </c>
      <c r="H5" s="17" t="s">
        <v>166</v>
      </c>
      <c r="I5" s="6" t="s">
        <v>168</v>
      </c>
      <c r="J5" s="24"/>
      <c r="K5" s="12">
        <f t="shared" ca="1" si="0"/>
        <v>15</v>
      </c>
    </row>
    <row r="6" spans="1:11" ht="51" x14ac:dyDescent="0.25">
      <c r="A6" s="25">
        <f t="shared" si="1"/>
        <v>5</v>
      </c>
      <c r="B6" s="5" t="s">
        <v>19</v>
      </c>
      <c r="C6" s="5" t="s">
        <v>52</v>
      </c>
      <c r="D6" s="16">
        <v>2</v>
      </c>
      <c r="E6" s="23" t="s">
        <v>85</v>
      </c>
      <c r="F6" s="23" t="s">
        <v>117</v>
      </c>
      <c r="G6" s="23" t="s">
        <v>137</v>
      </c>
      <c r="H6" s="16" t="s">
        <v>167</v>
      </c>
      <c r="I6" s="6" t="s">
        <v>168</v>
      </c>
      <c r="J6" s="24"/>
      <c r="K6" s="12">
        <f t="shared" ca="1" si="0"/>
        <v>10</v>
      </c>
    </row>
    <row r="7" spans="1:11" ht="63.75" x14ac:dyDescent="0.25">
      <c r="A7" s="25">
        <f t="shared" si="1"/>
        <v>6</v>
      </c>
      <c r="B7" s="6" t="s">
        <v>20</v>
      </c>
      <c r="C7" s="6" t="s">
        <v>53</v>
      </c>
      <c r="D7" s="17">
        <v>4</v>
      </c>
      <c r="E7" s="26" t="s">
        <v>86</v>
      </c>
      <c r="F7" s="26" t="s">
        <v>118</v>
      </c>
      <c r="G7" s="26" t="s">
        <v>138</v>
      </c>
      <c r="H7" s="17" t="s">
        <v>166</v>
      </c>
      <c r="I7" s="6" t="s">
        <v>168</v>
      </c>
      <c r="J7" s="24"/>
      <c r="K7" s="12">
        <f t="shared" ca="1" si="0"/>
        <v>20</v>
      </c>
    </row>
    <row r="8" spans="1:11" ht="102" x14ac:dyDescent="0.25">
      <c r="A8" s="25">
        <f t="shared" si="1"/>
        <v>7</v>
      </c>
      <c r="B8" s="5" t="s">
        <v>21</v>
      </c>
      <c r="C8" s="5" t="s">
        <v>54</v>
      </c>
      <c r="D8" s="16">
        <v>2</v>
      </c>
      <c r="E8" s="23" t="s">
        <v>87</v>
      </c>
      <c r="F8" s="23" t="s">
        <v>119</v>
      </c>
      <c r="G8" s="23" t="s">
        <v>139</v>
      </c>
      <c r="H8" s="16" t="s">
        <v>166</v>
      </c>
      <c r="I8" s="6" t="s">
        <v>168</v>
      </c>
      <c r="J8" s="24"/>
      <c r="K8" s="12">
        <f t="shared" ca="1" si="0"/>
        <v>10</v>
      </c>
    </row>
    <row r="9" spans="1:11" ht="102" x14ac:dyDescent="0.25">
      <c r="A9" s="25">
        <f t="shared" si="1"/>
        <v>8</v>
      </c>
      <c r="B9" s="6" t="s">
        <v>22</v>
      </c>
      <c r="C9" s="6" t="s">
        <v>55</v>
      </c>
      <c r="D9" s="17">
        <v>4</v>
      </c>
      <c r="E9" s="26" t="s">
        <v>88</v>
      </c>
      <c r="F9" s="26" t="s">
        <v>119</v>
      </c>
      <c r="G9" s="26" t="s">
        <v>140</v>
      </c>
      <c r="H9" s="17" t="s">
        <v>166</v>
      </c>
      <c r="I9" s="6" t="s">
        <v>168</v>
      </c>
      <c r="J9" s="24"/>
      <c r="K9" s="12">
        <f t="shared" ca="1" si="0"/>
        <v>20</v>
      </c>
    </row>
    <row r="10" spans="1:11" ht="63.75" x14ac:dyDescent="0.25">
      <c r="A10" s="25">
        <f t="shared" si="1"/>
        <v>9</v>
      </c>
      <c r="B10" s="5" t="s">
        <v>23</v>
      </c>
      <c r="C10" s="5" t="s">
        <v>56</v>
      </c>
      <c r="D10" s="16">
        <v>4</v>
      </c>
      <c r="E10" s="23" t="s">
        <v>89</v>
      </c>
      <c r="F10" s="23" t="s">
        <v>120</v>
      </c>
      <c r="G10" s="23" t="s">
        <v>141</v>
      </c>
      <c r="H10" s="16" t="s">
        <v>166</v>
      </c>
      <c r="I10" s="6" t="s">
        <v>168</v>
      </c>
      <c r="J10" s="24"/>
      <c r="K10" s="12">
        <f t="shared" ca="1" si="0"/>
        <v>20</v>
      </c>
    </row>
    <row r="11" spans="1:11" ht="114.75" x14ac:dyDescent="0.25">
      <c r="A11" s="25">
        <f t="shared" si="1"/>
        <v>10</v>
      </c>
      <c r="B11" s="6" t="s">
        <v>24</v>
      </c>
      <c r="C11" s="6" t="s">
        <v>57</v>
      </c>
      <c r="D11" s="17">
        <v>3</v>
      </c>
      <c r="E11" s="26" t="s">
        <v>90</v>
      </c>
      <c r="F11" s="26" t="s">
        <v>119</v>
      </c>
      <c r="G11" s="26" t="s">
        <v>142</v>
      </c>
      <c r="H11" s="17" t="s">
        <v>166</v>
      </c>
      <c r="I11" s="6" t="s">
        <v>168</v>
      </c>
      <c r="J11" s="24"/>
      <c r="K11" s="12">
        <f t="shared" ca="1" si="0"/>
        <v>15</v>
      </c>
    </row>
    <row r="12" spans="1:11" ht="63.75" x14ac:dyDescent="0.25">
      <c r="A12" s="25">
        <f t="shared" si="1"/>
        <v>11</v>
      </c>
      <c r="B12" s="5" t="s">
        <v>25</v>
      </c>
      <c r="C12" s="5" t="s">
        <v>58</v>
      </c>
      <c r="D12" s="16">
        <v>2</v>
      </c>
      <c r="E12" s="23" t="s">
        <v>91</v>
      </c>
      <c r="F12" s="23" t="s">
        <v>121</v>
      </c>
      <c r="G12" s="23" t="s">
        <v>143</v>
      </c>
      <c r="H12" s="16" t="s">
        <v>166</v>
      </c>
      <c r="I12" s="6" t="s">
        <v>168</v>
      </c>
      <c r="J12" s="24"/>
      <c r="K12" s="12">
        <f t="shared" ca="1" si="0"/>
        <v>10</v>
      </c>
    </row>
    <row r="13" spans="1:11" ht="102" x14ac:dyDescent="0.25">
      <c r="A13" s="25">
        <f t="shared" si="1"/>
        <v>12</v>
      </c>
      <c r="B13" s="6" t="s">
        <v>26</v>
      </c>
      <c r="C13" s="6" t="s">
        <v>59</v>
      </c>
      <c r="D13" s="17">
        <v>4</v>
      </c>
      <c r="E13" s="26" t="s">
        <v>92</v>
      </c>
      <c r="F13" s="26" t="s">
        <v>122</v>
      </c>
      <c r="G13" s="26" t="s">
        <v>144</v>
      </c>
      <c r="H13" s="17" t="s">
        <v>167</v>
      </c>
      <c r="I13" s="6" t="s">
        <v>168</v>
      </c>
      <c r="J13" s="24"/>
      <c r="K13" s="12">
        <f t="shared" ca="1" si="0"/>
        <v>20</v>
      </c>
    </row>
    <row r="14" spans="1:11" ht="153" x14ac:dyDescent="0.25">
      <c r="A14" s="25">
        <f t="shared" si="1"/>
        <v>13</v>
      </c>
      <c r="B14" s="5" t="s">
        <v>27</v>
      </c>
      <c r="C14" s="5" t="s">
        <v>60</v>
      </c>
      <c r="D14" s="16">
        <v>8</v>
      </c>
      <c r="E14" s="23" t="s">
        <v>93</v>
      </c>
      <c r="F14" s="23" t="s">
        <v>117</v>
      </c>
      <c r="G14" s="23" t="s">
        <v>145</v>
      </c>
      <c r="H14" s="16" t="s">
        <v>166</v>
      </c>
      <c r="I14" s="6" t="s">
        <v>168</v>
      </c>
      <c r="J14" s="24"/>
      <c r="K14" s="12">
        <f t="shared" ca="1" si="0"/>
        <v>40</v>
      </c>
    </row>
    <row r="15" spans="1:11" ht="242.25" x14ac:dyDescent="0.25">
      <c r="A15" s="25">
        <f t="shared" si="1"/>
        <v>14</v>
      </c>
      <c r="B15" s="6" t="s">
        <v>28</v>
      </c>
      <c r="C15" s="6" t="s">
        <v>61</v>
      </c>
      <c r="D15" s="17">
        <v>4</v>
      </c>
      <c r="E15" s="26" t="s">
        <v>94</v>
      </c>
      <c r="F15" s="26" t="s">
        <v>123</v>
      </c>
      <c r="G15" s="26" t="s">
        <v>146</v>
      </c>
      <c r="H15" s="17" t="s">
        <v>166</v>
      </c>
      <c r="I15" s="6" t="s">
        <v>168</v>
      </c>
      <c r="J15" s="24"/>
      <c r="K15" s="12">
        <f t="shared" ca="1" si="0"/>
        <v>20</v>
      </c>
    </row>
    <row r="16" spans="1:11" ht="216.75" x14ac:dyDescent="0.25">
      <c r="A16" s="25">
        <f t="shared" si="1"/>
        <v>15</v>
      </c>
      <c r="B16" s="5" t="s">
        <v>29</v>
      </c>
      <c r="C16" s="5" t="s">
        <v>62</v>
      </c>
      <c r="D16" s="16">
        <v>17</v>
      </c>
      <c r="E16" s="23" t="s">
        <v>95</v>
      </c>
      <c r="F16" s="23" t="s">
        <v>124</v>
      </c>
      <c r="G16" s="23" t="s">
        <v>147</v>
      </c>
      <c r="H16" s="16" t="s">
        <v>166</v>
      </c>
      <c r="I16" s="6" t="s">
        <v>168</v>
      </c>
      <c r="J16" s="24"/>
      <c r="K16" s="12">
        <f t="shared" ca="1" si="0"/>
        <v>85</v>
      </c>
    </row>
    <row r="17" spans="1:11" ht="165.75" x14ac:dyDescent="0.25">
      <c r="A17" s="25">
        <f t="shared" si="1"/>
        <v>16</v>
      </c>
      <c r="B17" s="6" t="s">
        <v>30</v>
      </c>
      <c r="C17" s="6" t="s">
        <v>63</v>
      </c>
      <c r="D17" s="17">
        <v>8</v>
      </c>
      <c r="E17" s="26" t="s">
        <v>96</v>
      </c>
      <c r="F17" s="26" t="s">
        <v>124</v>
      </c>
      <c r="G17" s="26" t="s">
        <v>148</v>
      </c>
      <c r="H17" s="17" t="s">
        <v>166</v>
      </c>
      <c r="I17" s="6" t="s">
        <v>168</v>
      </c>
      <c r="J17" s="24"/>
      <c r="K17" s="12">
        <f t="shared" ca="1" si="0"/>
        <v>40</v>
      </c>
    </row>
    <row r="18" spans="1:11" ht="153" x14ac:dyDescent="0.25">
      <c r="A18" s="25">
        <f t="shared" si="1"/>
        <v>17</v>
      </c>
      <c r="B18" s="5" t="s">
        <v>31</v>
      </c>
      <c r="C18" s="5" t="s">
        <v>64</v>
      </c>
      <c r="D18" s="16">
        <v>4</v>
      </c>
      <c r="E18" s="23" t="s">
        <v>97</v>
      </c>
      <c r="F18" s="23" t="s">
        <v>125</v>
      </c>
      <c r="G18" s="23" t="s">
        <v>149</v>
      </c>
      <c r="H18" s="16" t="s">
        <v>166</v>
      </c>
      <c r="I18" s="6" t="s">
        <v>168</v>
      </c>
      <c r="J18" s="24"/>
      <c r="K18" s="12">
        <f t="shared" ca="1" si="0"/>
        <v>20</v>
      </c>
    </row>
    <row r="19" spans="1:11" ht="63.75" x14ac:dyDescent="0.25">
      <c r="A19" s="25">
        <f t="shared" si="1"/>
        <v>18</v>
      </c>
      <c r="B19" s="6" t="s">
        <v>32</v>
      </c>
      <c r="C19" s="6" t="s">
        <v>65</v>
      </c>
      <c r="D19" s="17">
        <v>4</v>
      </c>
      <c r="E19" s="26" t="s">
        <v>98</v>
      </c>
      <c r="F19" s="26" t="s">
        <v>125</v>
      </c>
      <c r="G19" s="26" t="s">
        <v>150</v>
      </c>
      <c r="H19" s="17" t="s">
        <v>166</v>
      </c>
      <c r="I19" s="6" t="s">
        <v>168</v>
      </c>
      <c r="J19" s="24"/>
      <c r="K19" s="12">
        <f t="shared" ca="1" si="0"/>
        <v>20</v>
      </c>
    </row>
    <row r="20" spans="1:11" ht="63.75" x14ac:dyDescent="0.25">
      <c r="A20" s="25">
        <f t="shared" si="1"/>
        <v>19</v>
      </c>
      <c r="B20" s="5" t="s">
        <v>33</v>
      </c>
      <c r="C20" s="5" t="s">
        <v>66</v>
      </c>
      <c r="D20" s="16">
        <v>2</v>
      </c>
      <c r="E20" s="23" t="s">
        <v>99</v>
      </c>
      <c r="F20" s="23" t="s">
        <v>125</v>
      </c>
      <c r="G20" s="23" t="s">
        <v>151</v>
      </c>
      <c r="H20" s="16" t="s">
        <v>166</v>
      </c>
      <c r="I20" s="6" t="s">
        <v>168</v>
      </c>
      <c r="J20" s="24"/>
      <c r="K20" s="12">
        <f t="shared" ca="1" si="0"/>
        <v>10</v>
      </c>
    </row>
    <row r="21" spans="1:11" ht="63.75" x14ac:dyDescent="0.25">
      <c r="A21" s="25">
        <f t="shared" si="1"/>
        <v>20</v>
      </c>
      <c r="B21" s="6" t="s">
        <v>34</v>
      </c>
      <c r="C21" s="6" t="s">
        <v>67</v>
      </c>
      <c r="D21" s="17">
        <v>4</v>
      </c>
      <c r="E21" s="26" t="s">
        <v>100</v>
      </c>
      <c r="F21" s="26" t="s">
        <v>125</v>
      </c>
      <c r="G21" s="26" t="s">
        <v>152</v>
      </c>
      <c r="H21" s="17" t="s">
        <v>166</v>
      </c>
      <c r="I21" s="6" t="s">
        <v>168</v>
      </c>
      <c r="J21" s="24"/>
      <c r="K21" s="12">
        <f t="shared" ca="1" si="0"/>
        <v>20</v>
      </c>
    </row>
    <row r="22" spans="1:11" ht="165.75" x14ac:dyDescent="0.25">
      <c r="A22" s="25">
        <f t="shared" si="1"/>
        <v>21</v>
      </c>
      <c r="B22" s="5" t="s">
        <v>35</v>
      </c>
      <c r="C22" s="5" t="s">
        <v>68</v>
      </c>
      <c r="D22" s="16">
        <v>4</v>
      </c>
      <c r="E22" s="23" t="s">
        <v>101</v>
      </c>
      <c r="F22" s="23" t="s">
        <v>125</v>
      </c>
      <c r="G22" s="23" t="s">
        <v>153</v>
      </c>
      <c r="H22" s="16" t="s">
        <v>166</v>
      </c>
      <c r="I22" s="6" t="s">
        <v>168</v>
      </c>
      <c r="J22" s="24"/>
      <c r="K22" s="12">
        <f t="shared" ca="1" si="0"/>
        <v>20</v>
      </c>
    </row>
    <row r="23" spans="1:11" ht="63.75" x14ac:dyDescent="0.25">
      <c r="A23" s="25">
        <f t="shared" si="1"/>
        <v>22</v>
      </c>
      <c r="B23" s="6" t="s">
        <v>36</v>
      </c>
      <c r="C23" s="6" t="s">
        <v>69</v>
      </c>
      <c r="D23" s="17">
        <v>4</v>
      </c>
      <c r="E23" s="26" t="s">
        <v>102</v>
      </c>
      <c r="F23" s="26" t="s">
        <v>125</v>
      </c>
      <c r="G23" s="26" t="s">
        <v>154</v>
      </c>
      <c r="H23" s="17" t="s">
        <v>166</v>
      </c>
      <c r="I23" s="6" t="s">
        <v>168</v>
      </c>
      <c r="J23" s="24"/>
      <c r="K23" s="12">
        <f t="shared" ca="1" si="0"/>
        <v>20</v>
      </c>
    </row>
    <row r="24" spans="1:11" ht="102" x14ac:dyDescent="0.25">
      <c r="A24" s="25">
        <f t="shared" si="1"/>
        <v>23</v>
      </c>
      <c r="B24" s="5" t="s">
        <v>37</v>
      </c>
      <c r="C24" s="5" t="s">
        <v>70</v>
      </c>
      <c r="D24" s="16">
        <v>4</v>
      </c>
      <c r="E24" s="23" t="s">
        <v>103</v>
      </c>
      <c r="F24" s="23" t="s">
        <v>126</v>
      </c>
      <c r="G24" s="23" t="s">
        <v>155</v>
      </c>
      <c r="H24" s="16" t="s">
        <v>166</v>
      </c>
      <c r="I24" s="6" t="s">
        <v>168</v>
      </c>
      <c r="J24" s="24"/>
      <c r="K24" s="12">
        <f t="shared" ca="1" si="0"/>
        <v>20</v>
      </c>
    </row>
    <row r="25" spans="1:11" ht="102" x14ac:dyDescent="0.25">
      <c r="A25" s="25">
        <f t="shared" si="1"/>
        <v>24</v>
      </c>
      <c r="B25" s="6" t="s">
        <v>38</v>
      </c>
      <c r="C25" s="6" t="s">
        <v>71</v>
      </c>
      <c r="D25" s="17">
        <v>8</v>
      </c>
      <c r="E25" s="26" t="s">
        <v>104</v>
      </c>
      <c r="F25" s="26" t="s">
        <v>127</v>
      </c>
      <c r="G25" s="26" t="s">
        <v>156</v>
      </c>
      <c r="H25" s="17" t="s">
        <v>167</v>
      </c>
      <c r="I25" s="6" t="s">
        <v>168</v>
      </c>
      <c r="J25" s="24"/>
      <c r="K25" s="12">
        <f t="shared" ca="1" si="0"/>
        <v>40</v>
      </c>
    </row>
    <row r="26" spans="1:11" ht="63.75" x14ac:dyDescent="0.25">
      <c r="A26" s="25">
        <f t="shared" si="1"/>
        <v>25</v>
      </c>
      <c r="B26" s="5" t="s">
        <v>39</v>
      </c>
      <c r="C26" s="5" t="s">
        <v>72</v>
      </c>
      <c r="D26" s="16">
        <v>1</v>
      </c>
      <c r="E26" s="23" t="s">
        <v>105</v>
      </c>
      <c r="F26" s="23" t="s">
        <v>128</v>
      </c>
      <c r="G26" s="23" t="s">
        <v>157</v>
      </c>
      <c r="H26" s="16" t="s">
        <v>166</v>
      </c>
      <c r="I26" s="6" t="s">
        <v>168</v>
      </c>
      <c r="J26" s="24"/>
      <c r="K26" s="12">
        <f t="shared" ca="1" si="0"/>
        <v>5</v>
      </c>
    </row>
    <row r="27" spans="1:11" ht="76.5" x14ac:dyDescent="0.25">
      <c r="A27" s="25">
        <f t="shared" si="1"/>
        <v>26</v>
      </c>
      <c r="B27" s="6" t="s">
        <v>40</v>
      </c>
      <c r="C27" s="6" t="s">
        <v>73</v>
      </c>
      <c r="D27" s="17">
        <v>1</v>
      </c>
      <c r="E27" s="26" t="s">
        <v>106</v>
      </c>
      <c r="F27" s="26" t="s">
        <v>128</v>
      </c>
      <c r="G27" s="26" t="s">
        <v>158</v>
      </c>
      <c r="H27" s="17" t="s">
        <v>166</v>
      </c>
      <c r="I27" s="6" t="s">
        <v>168</v>
      </c>
      <c r="J27" s="24"/>
      <c r="K27" s="12">
        <f t="shared" ca="1" si="0"/>
        <v>5</v>
      </c>
    </row>
    <row r="28" spans="1:11" ht="89.25" x14ac:dyDescent="0.25">
      <c r="A28" s="25">
        <f t="shared" si="1"/>
        <v>27</v>
      </c>
      <c r="B28" s="5" t="s">
        <v>41</v>
      </c>
      <c r="C28" s="5" t="s">
        <v>74</v>
      </c>
      <c r="D28" s="16">
        <v>2</v>
      </c>
      <c r="E28" s="23" t="s">
        <v>107</v>
      </c>
      <c r="F28" s="23" t="s">
        <v>129</v>
      </c>
      <c r="G28" s="23" t="s">
        <v>159</v>
      </c>
      <c r="H28" s="16" t="s">
        <v>167</v>
      </c>
      <c r="I28" s="6" t="s">
        <v>168</v>
      </c>
      <c r="J28" s="24"/>
      <c r="K28" s="12">
        <f t="shared" ca="1" si="0"/>
        <v>10</v>
      </c>
    </row>
    <row r="29" spans="1:11" ht="63.75" x14ac:dyDescent="0.25">
      <c r="A29" s="25">
        <f t="shared" si="1"/>
        <v>28</v>
      </c>
      <c r="B29" s="6" t="s">
        <v>42</v>
      </c>
      <c r="C29" s="6" t="s">
        <v>75</v>
      </c>
      <c r="D29" s="17">
        <v>2</v>
      </c>
      <c r="E29" s="26" t="s">
        <v>108</v>
      </c>
      <c r="F29" s="26" t="s">
        <v>130</v>
      </c>
      <c r="G29" s="26" t="s">
        <v>160</v>
      </c>
      <c r="H29" s="17" t="s">
        <v>166</v>
      </c>
      <c r="I29" s="6" t="s">
        <v>168</v>
      </c>
      <c r="J29" s="24"/>
      <c r="K29" s="12">
        <f t="shared" ca="1" si="0"/>
        <v>10</v>
      </c>
    </row>
    <row r="30" spans="1:11" ht="63.75" x14ac:dyDescent="0.25">
      <c r="A30" s="25">
        <f t="shared" si="1"/>
        <v>29</v>
      </c>
      <c r="B30" s="5" t="s">
        <v>43</v>
      </c>
      <c r="C30" s="5" t="s">
        <v>76</v>
      </c>
      <c r="D30" s="16">
        <v>3</v>
      </c>
      <c r="E30" s="23" t="s">
        <v>109</v>
      </c>
      <c r="F30" s="23" t="s">
        <v>129</v>
      </c>
      <c r="G30" s="23" t="s">
        <v>161</v>
      </c>
      <c r="H30" s="16" t="s">
        <v>167</v>
      </c>
      <c r="I30" s="6" t="s">
        <v>168</v>
      </c>
      <c r="J30" s="24"/>
      <c r="K30" s="12">
        <f t="shared" ca="1" si="0"/>
        <v>15</v>
      </c>
    </row>
    <row r="31" spans="1:11" ht="76.5" x14ac:dyDescent="0.25">
      <c r="A31" s="25">
        <f t="shared" si="1"/>
        <v>30</v>
      </c>
      <c r="B31" s="6" t="s">
        <v>44</v>
      </c>
      <c r="C31" s="6" t="s">
        <v>77</v>
      </c>
      <c r="D31" s="17">
        <v>1</v>
      </c>
      <c r="E31" s="26" t="s">
        <v>110</v>
      </c>
      <c r="F31" s="26" t="s">
        <v>130</v>
      </c>
      <c r="G31" s="26" t="s">
        <v>162</v>
      </c>
      <c r="H31" s="17" t="s">
        <v>166</v>
      </c>
      <c r="I31" s="6" t="s">
        <v>168</v>
      </c>
      <c r="J31" s="24"/>
      <c r="K31" s="12">
        <f t="shared" ca="1" si="0"/>
        <v>5</v>
      </c>
    </row>
    <row r="32" spans="1:11" ht="63.75" x14ac:dyDescent="0.25">
      <c r="A32" s="25">
        <f t="shared" si="1"/>
        <v>31</v>
      </c>
      <c r="B32" s="5" t="s">
        <v>45</v>
      </c>
      <c r="C32" s="5" t="s">
        <v>78</v>
      </c>
      <c r="D32" s="16">
        <v>2</v>
      </c>
      <c r="E32" s="23" t="s">
        <v>111</v>
      </c>
      <c r="F32" s="23" t="s">
        <v>131</v>
      </c>
      <c r="G32" s="23" t="s">
        <v>163</v>
      </c>
      <c r="H32" s="16" t="s">
        <v>166</v>
      </c>
      <c r="I32" s="6" t="s">
        <v>168</v>
      </c>
      <c r="J32" s="24"/>
      <c r="K32" s="12">
        <f t="shared" ca="1" si="0"/>
        <v>10</v>
      </c>
    </row>
    <row r="33" spans="1:11" ht="51" x14ac:dyDescent="0.25">
      <c r="A33" s="25">
        <f t="shared" si="1"/>
        <v>32</v>
      </c>
      <c r="B33" s="6" t="s">
        <v>46</v>
      </c>
      <c r="C33" s="6" t="s">
        <v>79</v>
      </c>
      <c r="D33" s="17">
        <v>2</v>
      </c>
      <c r="E33" s="26" t="s">
        <v>112</v>
      </c>
      <c r="F33" s="26" t="s">
        <v>118</v>
      </c>
      <c r="G33" s="26" t="s">
        <v>164</v>
      </c>
      <c r="H33" s="17" t="s">
        <v>166</v>
      </c>
      <c r="I33" s="6" t="s">
        <v>168</v>
      </c>
      <c r="J33" s="24"/>
      <c r="K33" s="12">
        <f t="shared" ca="1" si="0"/>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zoomScaleNormal="100" zoomScalePageLayoutView="85" workbookViewId="0">
      <selection activeCell="B3" sqref="A1:B3"/>
    </sheetView>
  </sheetViews>
  <sheetFormatPr defaultRowHeight="15" x14ac:dyDescent="0.25"/>
  <cols>
    <col min="1" max="1" width="18.42578125" bestFit="1" customWidth="1"/>
    <col min="2" max="2" width="21.140625" bestFit="1" customWidth="1"/>
  </cols>
  <sheetData>
    <row r="1" spans="1:2" x14ac:dyDescent="0.25">
      <c r="A1" s="28" t="s">
        <v>171</v>
      </c>
    </row>
    <row r="2" spans="1:2" x14ac:dyDescent="0.25">
      <c r="A2" s="28" t="s">
        <v>171</v>
      </c>
    </row>
    <row r="3" spans="1:2" x14ac:dyDescent="0.25">
      <c r="A3" t="str">
        <f>IF(VALUE(A1)&gt;VALUE(A2),A1,A2)</f>
        <v>7 Nov 2025</v>
      </c>
      <c r="B3" t="s">
        <v>2</v>
      </c>
    </row>
  </sheetData>
  <pageMargins left="0.70866141732283472" right="0.70866141732283472" top="0.78740157480314965" bottom="0.94488188976377963" header="0" footer="0.31496062992125984"/>
  <pageSetup paperSize="8" orientation="landscape" r:id="rId1"/>
  <headerFooter>
    <oddFooter>&amp;L&amp;F&amp;C&amp;"Arial,Bold Italic"&amp;8Quanta Fluid Solutions Ltd, Tything Road, Arden Forest Industrial Estate, Alcester, Warwickshire, UK, B49 6EU
&amp;"Arial,Regular"QFS-T-166 Rev A&amp;"Arial,Bold Italic"
&amp;RPage &amp;P of &amp;N</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PCB BOM</vt:lpstr>
      <vt:lpstr>Sheet1</vt:lpstr>
      <vt:lpstr>Parameters</vt:lpstr>
      <vt:lpstr>Parameters!Print_Titles</vt:lpstr>
      <vt:lpstr>'PCB 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Buckley</dc:creator>
  <cp:lastModifiedBy>Adrian Buckley</cp:lastModifiedBy>
  <cp:lastPrinted>2015-07-08T10:51:12Z</cp:lastPrinted>
  <dcterms:created xsi:type="dcterms:W3CDTF">2013-01-01T17:11:31Z</dcterms:created>
  <dcterms:modified xsi:type="dcterms:W3CDTF">2025-11-17T11:47:57Z</dcterms:modified>
</cp:coreProperties>
</file>